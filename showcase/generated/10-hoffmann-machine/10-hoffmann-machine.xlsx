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  <sheet name="Production" sheetId="2" r:id="rId2"/>
    <sheet name="Delivery" sheetId="3" r:id="rId3"/>
  </sheets>
  <calcPr calcId="124519" fullCalcOnLoad="1"/>
</workbook>
</file>

<file path=xl/sharedStrings.xml><?xml version="1.0" encoding="utf-8"?>
<sst xmlns="http://schemas.openxmlformats.org/spreadsheetml/2006/main" count="177" uniqueCount="57">
  <si>
    <t>Hoffmann Machine - Order Book - Orders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</si>
  <si>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</si>
  <si>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</si>
  <si>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</si>
  <si>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</si>
  <si>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</si>
  <si>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</si>
  <si>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</si>
  <si>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</si>
  <si>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</si>
  <si>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</si>
  <si>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</si>
  <si>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</si>
  <si>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Category</t>
  </si>
  <si>
    <t>Lathes</t>
  </si>
  <si>
    <t>Mills</t>
  </si>
  <si>
    <t>Grinders</t>
  </si>
  <si>
    <t>EDM</t>
  </si>
  <si>
    <t xml:space="preserve">  Item 1</t>
  </si>
  <si>
    <t xml:space="preserve">  Item 2</t>
  </si>
  <si>
    <t xml:space="preserve">  Item 3</t>
  </si>
  <si>
    <t xml:space="preserve">  Item 4</t>
  </si>
  <si>
    <t xml:space="preserve">  Item 5</t>
  </si>
  <si>
    <t xml:space="preserve">  Item 6</t>
  </si>
  <si>
    <t xml:space="preserve">  Item 7</t>
  </si>
  <si>
    <t xml:space="preserve">  Item 8</t>
  </si>
  <si>
    <t xml:space="preserve">  Item 9</t>
  </si>
  <si>
    <t xml:space="preserve">  Item 10</t>
  </si>
  <si>
    <t xml:space="preserve">  Item 11</t>
  </si>
  <si>
    <t xml:space="preserve">  Item 12</t>
  </si>
  <si>
    <t xml:space="preserve">  Item 13</t>
  </si>
  <si>
    <t xml:space="preserve">  Item 14</t>
  </si>
  <si>
    <t xml:space="preserve">  Item 15</t>
  </si>
  <si>
    <t xml:space="preserve">  Item 16</t>
  </si>
  <si>
    <t xml:space="preserve">  Item 17</t>
  </si>
  <si>
    <t xml:space="preserve">  Item 18</t>
  </si>
  <si>
    <t xml:space="preserve">  Item 19</t>
  </si>
  <si>
    <t xml:space="preserve">  Item 20</t>
  </si>
  <si>
    <t xml:space="preserve">  Item 21</t>
  </si>
  <si>
    <t xml:space="preserve">  Item 22</t>
  </si>
  <si>
    <t xml:space="preserve">  Item 23</t>
  </si>
  <si>
    <t xml:space="preserve">  Item 24</t>
  </si>
  <si>
    <t xml:space="preserve">  Item 25</t>
  </si>
  <si>
    <t xml:space="preserve">  Item 26</t>
  </si>
  <si>
    <t xml:space="preserve">  Item 27</t>
  </si>
  <si>
    <t xml:space="preserve">  Item 28</t>
  </si>
  <si>
    <t>TOTAL</t>
  </si>
  <si>
    <t>Hoffmann Machine - Order Book - Production</t>
  </si>
  <si>
    <t>Utilization</t>
  </si>
  <si>
    <t>Throughput</t>
  </si>
  <si>
    <t>Quality</t>
  </si>
  <si>
    <t>Scrap</t>
  </si>
  <si>
    <t>Hoffmann Machine - Order Book - Delivery</t>
  </si>
  <si>
    <t>Schedule</t>
  </si>
  <si>
    <t>Logistics</t>
  </si>
  <si>
    <t>Assembly</t>
  </si>
  <si>
    <t>Acceptance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</si>
</sst>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6"/>
      <color rgb="FF004D40"/>
      <name val="Calibri"/>
      <family val="2"/>
      <scheme val="minor"/>
    </font>
    <font>
      <b/>
      <sz val="11"/>
      <color rgb="FF004D4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2DFD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164" fontId="0" fillId="2" borderId="1" xfId="0" applyNumberFormat="1" applyFill="1" applyBorder="1"/>
    <xf numFmtId="164" fontId="0" fillId="0" borderId="1" xfId="0" applyNumberFormat="1" applyBorder="1"/>
    <xf numFmtId="0" fontId="2" fillId="3" borderId="1" xfId="0" applyFont="1" applyFill="1" applyBorder="1"/>
    <xf numFmtId="164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40.7109375" customWidth="1"/>
    <col min="2" max="13" width="19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3" t="s">
        <v>14</v>
      </c>
      <c r="B3" s="3">
        <f>302</f>
        <v>302</v>
      </c>
      <c r="C3" s="3">
        <f>214</f>
        <v>214</v>
      </c>
      <c r="D3" s="3">
        <f>277</f>
        <v>277</v>
      </c>
      <c r="E3" s="3">
        <f>386</f>
        <v>386</v>
      </c>
      <c r="F3" s="3">
        <f>154</f>
        <v>154</v>
      </c>
      <c r="G3" s="3">
        <f>371</f>
        <v>371</v>
      </c>
      <c r="H3" s="3">
        <f>391</f>
        <v>391</v>
      </c>
      <c r="I3" s="3">
        <f>405</f>
        <v>405</v>
      </c>
      <c r="J3" s="3">
        <f>119</f>
        <v>119</v>
      </c>
      <c r="K3" s="3">
        <f>293</f>
        <v>293</v>
      </c>
      <c r="L3" s="3">
        <f>309</f>
        <v>309</v>
      </c>
      <c r="M3" s="3">
        <f>362</f>
        <v>362</v>
      </c>
    </row>
    <row r="4" spans="1:13">
      <c r="A4" s="4" t="s">
        <v>15</v>
      </c>
      <c r="B4" s="4">
        <f>371</f>
        <v>371</v>
      </c>
      <c r="C4" s="4">
        <f>308</f>
        <v>308</v>
      </c>
      <c r="D4" s="4">
        <f>82</f>
        <v>82</v>
      </c>
      <c r="E4" s="4">
        <f>188</f>
        <v>188</v>
      </c>
      <c r="F4" s="4">
        <f>279</f>
        <v>279</v>
      </c>
      <c r="G4" s="4">
        <f>263</f>
        <v>263</v>
      </c>
      <c r="H4" s="4">
        <f>80</f>
        <v>80</v>
      </c>
      <c r="I4" s="4">
        <f>450</f>
        <v>450</v>
      </c>
      <c r="J4" s="4">
        <f>284</f>
        <v>284</v>
      </c>
      <c r="K4" s="4">
        <f>193</f>
        <v>193</v>
      </c>
      <c r="L4" s="4">
        <f>116</f>
        <v>116</v>
      </c>
      <c r="M4" s="4">
        <f>105</f>
        <v>105</v>
      </c>
    </row>
    <row r="5" spans="1:13">
      <c r="A5" s="3" t="s">
        <v>16</v>
      </c>
      <c r="B5" s="3">
        <f>390</f>
        <v>390</v>
      </c>
      <c r="C5" s="3">
        <f>193</f>
        <v>193</v>
      </c>
      <c r="D5" s="3">
        <f>470</f>
        <v>470</v>
      </c>
      <c r="E5" s="3">
        <f>167</f>
        <v>167</v>
      </c>
      <c r="F5" s="3">
        <f>307</f>
        <v>307</v>
      </c>
      <c r="G5" s="3">
        <f>258</f>
        <v>258</v>
      </c>
      <c r="H5" s="3">
        <f>191</f>
        <v>191</v>
      </c>
      <c r="I5" s="3">
        <f>331</f>
        <v>331</v>
      </c>
      <c r="J5" s="3">
        <f>64</f>
        <v>64</v>
      </c>
      <c r="K5" s="3">
        <f>322</f>
        <v>322</v>
      </c>
      <c r="L5" s="3">
        <f>79</f>
        <v>79</v>
      </c>
      <c r="M5" s="3">
        <f>63</f>
        <v>63</v>
      </c>
    </row>
    <row r="6" spans="1:13">
      <c r="A6" s="4" t="s">
        <v>17</v>
      </c>
      <c r="B6" s="4">
        <f>302</f>
        <v>302</v>
      </c>
      <c r="C6" s="4">
        <f>95</f>
        <v>95</v>
      </c>
      <c r="D6" s="4">
        <f>301</f>
        <v>301</v>
      </c>
      <c r="E6" s="4">
        <f>257</f>
        <v>257</v>
      </c>
      <c r="F6" s="4">
        <f>251</f>
        <v>251</v>
      </c>
      <c r="G6" s="4">
        <f>88</f>
        <v>88</v>
      </c>
      <c r="H6" s="4">
        <f>277</f>
        <v>277</v>
      </c>
      <c r="I6" s="4">
        <f>378</f>
        <v>378</v>
      </c>
      <c r="J6" s="4">
        <f>408</f>
        <v>408</v>
      </c>
      <c r="K6" s="4">
        <f>331</f>
        <v>331</v>
      </c>
      <c r="L6" s="4">
        <f>456</f>
        <v>456</v>
      </c>
      <c r="M6" s="4">
        <f>169</f>
        <v>169</v>
      </c>
    </row>
    <row r="7" spans="1:13">
      <c r="A7" s="3" t="s">
        <v>18</v>
      </c>
      <c r="B7" s="5">
        <v>50</v>
      </c>
      <c r="C7" s="5">
        <v>37</v>
      </c>
      <c r="D7" s="5">
        <v>79</v>
      </c>
      <c r="E7" s="5">
        <v>15</v>
      </c>
      <c r="F7" s="5">
        <v>69</v>
      </c>
      <c r="G7" s="5">
        <v>7</v>
      </c>
      <c r="H7" s="5">
        <v>19</v>
      </c>
      <c r="I7" s="5">
        <v>99</v>
      </c>
      <c r="J7" s="5">
        <v>89</v>
      </c>
      <c r="K7" s="5">
        <v>64</v>
      </c>
      <c r="L7" s="5">
        <v>27</v>
      </c>
      <c r="M7" s="5">
        <v>28</v>
      </c>
    </row>
    <row r="8" spans="1:13">
      <c r="A8" s="4" t="s">
        <v>19</v>
      </c>
      <c r="B8" s="6">
        <v>55</v>
      </c>
      <c r="C8" s="6">
        <v>10</v>
      </c>
      <c r="D8" s="6">
        <v>15</v>
      </c>
      <c r="E8" s="6">
        <v>58</v>
      </c>
      <c r="F8" s="6">
        <v>95</v>
      </c>
      <c r="G8" s="6">
        <v>43</v>
      </c>
      <c r="H8" s="6">
        <v>45</v>
      </c>
      <c r="I8" s="6">
        <v>80</v>
      </c>
      <c r="J8" s="6">
        <v>97</v>
      </c>
      <c r="K8" s="6">
        <v>63</v>
      </c>
      <c r="L8" s="6">
        <v>90</v>
      </c>
      <c r="M8" s="6">
        <v>62</v>
      </c>
    </row>
    <row r="9" spans="1:13">
      <c r="A9" s="3" t="s">
        <v>20</v>
      </c>
      <c r="B9" s="5">
        <v>84</v>
      </c>
      <c r="C9" s="5">
        <v>38</v>
      </c>
      <c r="D9" s="5">
        <v>48</v>
      </c>
      <c r="E9" s="5">
        <v>28</v>
      </c>
      <c r="F9" s="5">
        <v>32</v>
      </c>
      <c r="G9" s="5">
        <v>28</v>
      </c>
      <c r="H9" s="5">
        <v>15</v>
      </c>
      <c r="I9" s="5">
        <v>100</v>
      </c>
      <c r="J9" s="5">
        <v>82</v>
      </c>
      <c r="K9" s="5">
        <v>38</v>
      </c>
      <c r="L9" s="5">
        <v>91</v>
      </c>
      <c r="M9" s="5">
        <v>18</v>
      </c>
    </row>
    <row r="10" spans="1:13">
      <c r="A10" s="4" t="s">
        <v>21</v>
      </c>
      <c r="B10" s="6">
        <v>60</v>
      </c>
      <c r="C10" s="6">
        <v>73</v>
      </c>
      <c r="D10" s="6">
        <v>7</v>
      </c>
      <c r="E10" s="6">
        <v>5</v>
      </c>
      <c r="F10" s="6">
        <v>55</v>
      </c>
      <c r="G10" s="6">
        <v>19</v>
      </c>
      <c r="H10" s="6">
        <v>6</v>
      </c>
      <c r="I10" s="6">
        <v>26</v>
      </c>
      <c r="J10" s="6">
        <v>88</v>
      </c>
      <c r="K10" s="6">
        <v>66</v>
      </c>
      <c r="L10" s="6">
        <v>63</v>
      </c>
      <c r="M10" s="6">
        <v>93</v>
      </c>
    </row>
    <row r="11" spans="1:13">
      <c r="A11" s="3" t="s">
        <v>22</v>
      </c>
      <c r="B11" s="5">
        <v>56</v>
      </c>
      <c r="C11" s="5">
        <v>89</v>
      </c>
      <c r="D11" s="5">
        <v>100</v>
      </c>
      <c r="E11" s="5">
        <v>82</v>
      </c>
      <c r="F11" s="5">
        <v>97</v>
      </c>
      <c r="G11" s="5">
        <v>67</v>
      </c>
      <c r="H11" s="5">
        <v>43</v>
      </c>
      <c r="I11" s="5">
        <v>84</v>
      </c>
      <c r="J11" s="5">
        <v>83</v>
      </c>
      <c r="K11" s="5">
        <v>51</v>
      </c>
      <c r="L11" s="5">
        <v>93</v>
      </c>
      <c r="M11" s="5">
        <v>91</v>
      </c>
    </row>
    <row r="12" spans="1:13">
      <c r="A12" s="4" t="s">
        <v>23</v>
      </c>
      <c r="B12" s="6">
        <v>93</v>
      </c>
      <c r="C12" s="6">
        <v>91</v>
      </c>
      <c r="D12" s="6">
        <v>55</v>
      </c>
      <c r="E12" s="6">
        <v>43</v>
      </c>
      <c r="F12" s="6">
        <v>16</v>
      </c>
      <c r="G12" s="6">
        <v>21</v>
      </c>
      <c r="H12" s="6">
        <v>22</v>
      </c>
      <c r="I12" s="6">
        <v>6</v>
      </c>
      <c r="J12" s="6">
        <v>29</v>
      </c>
      <c r="K12" s="6">
        <v>19</v>
      </c>
      <c r="L12" s="6">
        <v>7</v>
      </c>
      <c r="M12" s="6">
        <v>94</v>
      </c>
    </row>
    <row r="13" spans="1:13">
      <c r="A13" s="3" t="s">
        <v>24</v>
      </c>
      <c r="B13" s="5">
        <v>29</v>
      </c>
      <c r="C13" s="5">
        <v>8</v>
      </c>
      <c r="D13" s="5">
        <v>31</v>
      </c>
      <c r="E13" s="5">
        <v>66</v>
      </c>
      <c r="F13" s="5">
        <v>88</v>
      </c>
      <c r="G13" s="5">
        <v>23</v>
      </c>
      <c r="H13" s="5">
        <v>88</v>
      </c>
      <c r="I13" s="5">
        <v>35</v>
      </c>
      <c r="J13" s="5">
        <v>60</v>
      </c>
      <c r="K13" s="5">
        <v>85</v>
      </c>
      <c r="L13" s="5">
        <v>73</v>
      </c>
      <c r="M13" s="5">
        <v>29</v>
      </c>
    </row>
    <row r="14" spans="1:13">
      <c r="A14" s="4" t="s">
        <v>25</v>
      </c>
      <c r="B14" s="6">
        <v>16</v>
      </c>
      <c r="C14" s="6">
        <v>43</v>
      </c>
      <c r="D14" s="6">
        <v>64</v>
      </c>
      <c r="E14" s="6">
        <v>23</v>
      </c>
      <c r="F14" s="6">
        <v>65</v>
      </c>
      <c r="G14" s="6">
        <v>59</v>
      </c>
      <c r="H14" s="6">
        <v>7</v>
      </c>
      <c r="I14" s="6">
        <v>19</v>
      </c>
      <c r="J14" s="6">
        <v>26</v>
      </c>
      <c r="K14" s="6">
        <v>24</v>
      </c>
      <c r="L14" s="6">
        <v>99</v>
      </c>
      <c r="M14" s="6">
        <v>94</v>
      </c>
    </row>
    <row r="15" spans="1:13">
      <c r="A15" s="3" t="s">
        <v>26</v>
      </c>
      <c r="B15" s="5">
        <v>61</v>
      </c>
      <c r="C15" s="5">
        <v>67</v>
      </c>
      <c r="D15" s="5">
        <v>65</v>
      </c>
      <c r="E15" s="5">
        <v>7</v>
      </c>
      <c r="F15" s="5">
        <v>62</v>
      </c>
      <c r="G15" s="5">
        <v>79</v>
      </c>
      <c r="H15" s="5">
        <v>36</v>
      </c>
      <c r="I15" s="5">
        <v>30</v>
      </c>
      <c r="J15" s="5">
        <v>42</v>
      </c>
      <c r="K15" s="5">
        <v>77</v>
      </c>
      <c r="L15" s="5">
        <v>55</v>
      </c>
      <c r="M15" s="5">
        <v>11</v>
      </c>
    </row>
    <row r="16" spans="1:13">
      <c r="A16" s="4" t="s">
        <v>27</v>
      </c>
      <c r="B16" s="6">
        <v>47</v>
      </c>
      <c r="C16" s="6">
        <v>6</v>
      </c>
      <c r="D16" s="6">
        <v>18</v>
      </c>
      <c r="E16" s="6">
        <v>85</v>
      </c>
      <c r="F16" s="6">
        <v>96</v>
      </c>
      <c r="G16" s="6">
        <v>60</v>
      </c>
      <c r="H16" s="6">
        <v>58</v>
      </c>
      <c r="I16" s="6">
        <v>68</v>
      </c>
      <c r="J16" s="6">
        <v>99</v>
      </c>
      <c r="K16" s="6">
        <v>79</v>
      </c>
      <c r="L16" s="6">
        <v>81</v>
      </c>
      <c r="M16" s="6">
        <v>98</v>
      </c>
    </row>
    <row r="17" spans="1:13">
      <c r="A17" s="3" t="s">
        <v>28</v>
      </c>
      <c r="B17" s="5">
        <v>75</v>
      </c>
      <c r="C17" s="5">
        <v>42</v>
      </c>
      <c r="D17" s="5">
        <v>9</v>
      </c>
      <c r="E17" s="5">
        <v>67</v>
      </c>
      <c r="F17" s="5">
        <v>56</v>
      </c>
      <c r="G17" s="5">
        <v>67</v>
      </c>
      <c r="H17" s="5">
        <v>70</v>
      </c>
      <c r="I17" s="5">
        <v>80</v>
      </c>
      <c r="J17" s="5">
        <v>97</v>
      </c>
      <c r="K17" s="5">
        <v>83</v>
      </c>
      <c r="L17" s="5">
        <v>91</v>
      </c>
      <c r="M17" s="5">
        <v>67</v>
      </c>
    </row>
    <row r="18" spans="1:13">
      <c r="A18" s="4" t="s">
        <v>29</v>
      </c>
      <c r="B18" s="6">
        <v>34</v>
      </c>
      <c r="C18" s="6">
        <v>96</v>
      </c>
      <c r="D18" s="6">
        <v>12</v>
      </c>
      <c r="E18" s="6">
        <v>72</v>
      </c>
      <c r="F18" s="6">
        <v>7</v>
      </c>
      <c r="G18" s="6">
        <v>59</v>
      </c>
      <c r="H18" s="6">
        <v>78</v>
      </c>
      <c r="I18" s="6">
        <v>45</v>
      </c>
      <c r="J18" s="6">
        <v>75</v>
      </c>
      <c r="K18" s="6">
        <v>13</v>
      </c>
      <c r="L18" s="6">
        <v>39</v>
      </c>
      <c r="M18" s="6">
        <v>87</v>
      </c>
    </row>
    <row r="19" spans="1:13">
      <c r="A19" s="3" t="s">
        <v>30</v>
      </c>
      <c r="B19" s="5">
        <v>58</v>
      </c>
      <c r="C19" s="5">
        <v>65</v>
      </c>
      <c r="D19" s="5">
        <v>19</v>
      </c>
      <c r="E19" s="5">
        <v>68</v>
      </c>
      <c r="F19" s="5">
        <v>84</v>
      </c>
      <c r="G19" s="5">
        <v>87</v>
      </c>
      <c r="H19" s="5">
        <v>49</v>
      </c>
      <c r="I19" s="5">
        <v>62</v>
      </c>
      <c r="J19" s="5">
        <v>94</v>
      </c>
      <c r="K19" s="5">
        <v>60</v>
      </c>
      <c r="L19" s="5">
        <v>7</v>
      </c>
      <c r="M19" s="5">
        <v>25</v>
      </c>
    </row>
    <row r="20" spans="1:13">
      <c r="A20" s="4" t="s">
        <v>31</v>
      </c>
      <c r="B20" s="6">
        <v>41</v>
      </c>
      <c r="C20" s="6">
        <v>97</v>
      </c>
      <c r="D20" s="6">
        <v>29</v>
      </c>
      <c r="E20" s="6">
        <v>65</v>
      </c>
      <c r="F20" s="6">
        <v>49</v>
      </c>
      <c r="G20" s="6">
        <v>61</v>
      </c>
      <c r="H20" s="6">
        <v>34</v>
      </c>
      <c r="I20" s="6">
        <v>69</v>
      </c>
      <c r="J20" s="6">
        <v>33</v>
      </c>
      <c r="K20" s="6">
        <v>80</v>
      </c>
      <c r="L20" s="6">
        <v>92</v>
      </c>
      <c r="M20" s="6">
        <v>48</v>
      </c>
    </row>
    <row r="21" spans="1:13">
      <c r="A21" s="3" t="s">
        <v>32</v>
      </c>
      <c r="B21" s="5">
        <v>82</v>
      </c>
      <c r="C21" s="5">
        <v>96</v>
      </c>
      <c r="D21" s="5">
        <v>89</v>
      </c>
      <c r="E21" s="5">
        <v>64</v>
      </c>
      <c r="F21" s="5">
        <v>21</v>
      </c>
      <c r="G21" s="5">
        <v>42</v>
      </c>
      <c r="H21" s="5">
        <v>97</v>
      </c>
      <c r="I21" s="5">
        <v>96</v>
      </c>
      <c r="J21" s="5">
        <v>54</v>
      </c>
      <c r="K21" s="5">
        <v>58</v>
      </c>
      <c r="L21" s="5">
        <v>91</v>
      </c>
      <c r="M21" s="5">
        <v>88</v>
      </c>
    </row>
    <row r="22" spans="1:13">
      <c r="A22" s="4" t="s">
        <v>33</v>
      </c>
      <c r="B22" s="6">
        <v>99</v>
      </c>
      <c r="C22" s="6">
        <v>51</v>
      </c>
      <c r="D22" s="6">
        <v>65</v>
      </c>
      <c r="E22" s="6">
        <v>25</v>
      </c>
      <c r="F22" s="6">
        <v>84</v>
      </c>
      <c r="G22" s="6">
        <v>31</v>
      </c>
      <c r="H22" s="6">
        <v>41</v>
      </c>
      <c r="I22" s="6">
        <v>93</v>
      </c>
      <c r="J22" s="6">
        <v>100</v>
      </c>
      <c r="K22" s="6">
        <v>16</v>
      </c>
      <c r="L22" s="6">
        <v>90</v>
      </c>
      <c r="M22" s="6">
        <v>66</v>
      </c>
    </row>
    <row r="23" spans="1:13">
      <c r="A23" s="3" t="s">
        <v>34</v>
      </c>
      <c r="B23" s="5">
        <v>21</v>
      </c>
      <c r="C23" s="5">
        <v>27</v>
      </c>
      <c r="D23" s="5">
        <v>30</v>
      </c>
      <c r="E23" s="5">
        <v>25</v>
      </c>
      <c r="F23" s="5">
        <v>82</v>
      </c>
      <c r="G23" s="5">
        <v>67</v>
      </c>
      <c r="H23" s="5">
        <v>17</v>
      </c>
      <c r="I23" s="5">
        <v>58</v>
      </c>
      <c r="J23" s="5">
        <v>68</v>
      </c>
      <c r="K23" s="5">
        <v>43</v>
      </c>
      <c r="L23" s="5">
        <v>35</v>
      </c>
      <c r="M23" s="5">
        <v>31</v>
      </c>
    </row>
    <row r="24" spans="1:13">
      <c r="A24" s="4" t="s">
        <v>35</v>
      </c>
      <c r="B24" s="6">
        <v>76</v>
      </c>
      <c r="C24" s="6">
        <v>11</v>
      </c>
      <c r="D24" s="6">
        <v>7</v>
      </c>
      <c r="E24" s="6">
        <v>50</v>
      </c>
      <c r="F24" s="6">
        <v>38</v>
      </c>
      <c r="G24" s="6">
        <v>50</v>
      </c>
      <c r="H24" s="6">
        <v>91</v>
      </c>
      <c r="I24" s="6">
        <v>25</v>
      </c>
      <c r="J24" s="6">
        <v>27</v>
      </c>
      <c r="K24" s="6">
        <v>69</v>
      </c>
      <c r="L24" s="6">
        <v>9</v>
      </c>
      <c r="M24" s="6">
        <v>13</v>
      </c>
    </row>
    <row r="25" spans="1:13">
      <c r="A25" s="3" t="s">
        <v>36</v>
      </c>
      <c r="B25" s="5">
        <v>48</v>
      </c>
      <c r="C25" s="5">
        <v>60</v>
      </c>
      <c r="D25" s="5">
        <v>19</v>
      </c>
      <c r="E25" s="5">
        <v>84</v>
      </c>
      <c r="F25" s="5">
        <v>34</v>
      </c>
      <c r="G25" s="5">
        <v>20</v>
      </c>
      <c r="H25" s="5">
        <v>76</v>
      </c>
      <c r="I25" s="5">
        <v>33</v>
      </c>
      <c r="J25" s="5">
        <v>67</v>
      </c>
      <c r="K25" s="5">
        <v>38</v>
      </c>
      <c r="L25" s="5">
        <v>48</v>
      </c>
      <c r="M25" s="5">
        <v>50</v>
      </c>
    </row>
    <row r="26" spans="1:13">
      <c r="A26" s="4" t="s">
        <v>37</v>
      </c>
      <c r="B26" s="6">
        <v>10</v>
      </c>
      <c r="C26" s="6">
        <v>76</v>
      </c>
      <c r="D26" s="6">
        <v>39</v>
      </c>
      <c r="E26" s="6">
        <v>24</v>
      </c>
      <c r="F26" s="6">
        <v>93</v>
      </c>
      <c r="G26" s="6">
        <v>70</v>
      </c>
      <c r="H26" s="6">
        <v>82</v>
      </c>
      <c r="I26" s="6">
        <v>90</v>
      </c>
      <c r="J26" s="6">
        <v>18</v>
      </c>
      <c r="K26" s="6">
        <v>95</v>
      </c>
      <c r="L26" s="6">
        <v>11</v>
      </c>
      <c r="M26" s="6">
        <v>61</v>
      </c>
    </row>
    <row r="27" spans="1:13">
      <c r="A27" s="3" t="s">
        <v>38</v>
      </c>
      <c r="B27" s="5">
        <v>63</v>
      </c>
      <c r="C27" s="5">
        <v>19</v>
      </c>
      <c r="D27" s="5">
        <v>18</v>
      </c>
      <c r="E27" s="5">
        <v>83</v>
      </c>
      <c r="F27" s="5">
        <v>83</v>
      </c>
      <c r="G27" s="5">
        <v>18</v>
      </c>
      <c r="H27" s="5">
        <v>76</v>
      </c>
      <c r="I27" s="5">
        <v>10</v>
      </c>
      <c r="J27" s="5">
        <v>69</v>
      </c>
      <c r="K27" s="5">
        <v>18</v>
      </c>
      <c r="L27" s="5">
        <v>26</v>
      </c>
      <c r="M27" s="5">
        <v>85</v>
      </c>
    </row>
    <row r="28" spans="1:13">
      <c r="A28" s="4" t="s">
        <v>39</v>
      </c>
      <c r="B28" s="6">
        <v>20</v>
      </c>
      <c r="C28" s="6">
        <v>31</v>
      </c>
      <c r="D28" s="6">
        <v>51</v>
      </c>
      <c r="E28" s="6">
        <v>25</v>
      </c>
      <c r="F28" s="6">
        <v>98</v>
      </c>
      <c r="G28" s="6">
        <v>42</v>
      </c>
      <c r="H28" s="6">
        <v>95</v>
      </c>
      <c r="I28" s="6">
        <v>61</v>
      </c>
      <c r="J28" s="6">
        <v>69</v>
      </c>
      <c r="K28" s="6">
        <v>68</v>
      </c>
      <c r="L28" s="6">
        <v>98</v>
      </c>
      <c r="M28" s="6">
        <v>17</v>
      </c>
    </row>
    <row r="29" spans="1:13">
      <c r="A29" s="3" t="s">
        <v>40</v>
      </c>
      <c r="B29" s="5">
        <v>24</v>
      </c>
      <c r="C29" s="5">
        <v>87</v>
      </c>
      <c r="D29" s="5">
        <v>51</v>
      </c>
      <c r="E29" s="5">
        <v>47</v>
      </c>
      <c r="F29" s="5">
        <v>22</v>
      </c>
      <c r="G29" s="5">
        <v>20</v>
      </c>
      <c r="H29" s="5">
        <v>30</v>
      </c>
      <c r="I29" s="5">
        <v>61</v>
      </c>
      <c r="J29" s="5">
        <v>58</v>
      </c>
      <c r="K29" s="5">
        <v>5</v>
      </c>
      <c r="L29" s="5">
        <v>36</v>
      </c>
      <c r="M29" s="5">
        <v>65</v>
      </c>
    </row>
    <row r="30" spans="1:13">
      <c r="A30" s="4" t="s">
        <v>41</v>
      </c>
      <c r="B30" s="6">
        <v>48</v>
      </c>
      <c r="C30" s="6">
        <v>41</v>
      </c>
      <c r="D30" s="6">
        <v>69</v>
      </c>
      <c r="E30" s="6">
        <v>26</v>
      </c>
      <c r="F30" s="6">
        <v>15</v>
      </c>
      <c r="G30" s="6">
        <v>39</v>
      </c>
      <c r="H30" s="6">
        <v>52</v>
      </c>
      <c r="I30" s="6">
        <v>96</v>
      </c>
      <c r="J30" s="6">
        <v>58</v>
      </c>
      <c r="K30" s="6">
        <v>51</v>
      </c>
      <c r="L30" s="6">
        <v>85</v>
      </c>
      <c r="M30" s="6">
        <v>90</v>
      </c>
    </row>
    <row r="31" spans="1:13">
      <c r="A31" s="3" t="s">
        <v>42</v>
      </c>
      <c r="B31" s="5">
        <v>36</v>
      </c>
      <c r="C31" s="5">
        <v>24</v>
      </c>
      <c r="D31" s="5">
        <v>72</v>
      </c>
      <c r="E31" s="5">
        <v>58</v>
      </c>
      <c r="F31" s="5">
        <v>34</v>
      </c>
      <c r="G31" s="5">
        <v>22</v>
      </c>
      <c r="H31" s="5">
        <v>59</v>
      </c>
      <c r="I31" s="5">
        <v>57</v>
      </c>
      <c r="J31" s="5">
        <v>57</v>
      </c>
      <c r="K31" s="5">
        <v>63</v>
      </c>
      <c r="L31" s="5">
        <v>71</v>
      </c>
      <c r="M31" s="5">
        <v>92</v>
      </c>
    </row>
    <row r="32" spans="1:13">
      <c r="A32" s="7" t="s">
        <v>43</v>
      </c>
      <c r="B32" s="8">
        <v>51</v>
      </c>
      <c r="C32" s="8">
        <v>8</v>
      </c>
      <c r="D32" s="8">
        <v>61</v>
      </c>
      <c r="E32" s="8">
        <v>23</v>
      </c>
      <c r="F32" s="8">
        <v>6</v>
      </c>
      <c r="G32" s="8">
        <v>96</v>
      </c>
      <c r="H32" s="8">
        <v>71</v>
      </c>
      <c r="I32" s="8">
        <v>13</v>
      </c>
      <c r="J32" s="8">
        <v>15</v>
      </c>
      <c r="K32" s="8">
        <v>48</v>
      </c>
      <c r="L32" s="8">
        <v>45</v>
      </c>
      <c r="M32" s="8">
        <v>56</v>
      </c>
    </row>
    <row r="33" spans="1:13">
      <c r="A33" s="7" t="s">
        <v>44</v>
      </c>
      <c r="B33" s="8">
        <v>26</v>
      </c>
      <c r="C33" s="8">
        <v>60</v>
      </c>
      <c r="D33" s="8">
        <v>12</v>
      </c>
      <c r="E33" s="8">
        <v>55</v>
      </c>
      <c r="F33" s="8">
        <v>9</v>
      </c>
      <c r="G33" s="8">
        <v>89</v>
      </c>
      <c r="H33" s="8">
        <v>87</v>
      </c>
      <c r="I33" s="8">
        <v>24</v>
      </c>
      <c r="J33" s="8">
        <v>78</v>
      </c>
      <c r="K33" s="8">
        <v>12</v>
      </c>
      <c r="L33" s="8">
        <v>85</v>
      </c>
      <c r="M33" s="8">
        <v>96</v>
      </c>
    </row>
    <row r="34" spans="1:13">
      <c r="A34" s="7" t="s">
        <v>45</v>
      </c>
      <c r="B34" s="8">
        <v>89</v>
      </c>
      <c r="C34" s="8">
        <v>71</v>
      </c>
      <c r="D34" s="8">
        <v>42</v>
      </c>
      <c r="E34" s="8">
        <v>58</v>
      </c>
      <c r="F34" s="8">
        <v>56</v>
      </c>
      <c r="G34" s="8">
        <v>92</v>
      </c>
      <c r="H34" s="8">
        <v>94</v>
      </c>
      <c r="I34" s="8">
        <v>75</v>
      </c>
      <c r="J34" s="8">
        <v>43</v>
      </c>
      <c r="K34" s="8">
        <v>97</v>
      </c>
      <c r="L34" s="8">
        <v>100</v>
      </c>
      <c r="M34" s="8">
        <v>45</v>
      </c>
    </row>
    <row r="35" spans="1:13">
      <c r="A35" s="7" t="s">
        <v>46</v>
      </c>
      <c r="B35" s="7" t="str">
        <f>SUM(B3:B30)</f>
        <v>sum</v>
      </c>
      <c r="C35" s="7" t="str">
        <f>SUM(C3:C30)</f>
        <v>sum</v>
      </c>
      <c r="D35" s="7" t="str">
        <f>SUM(D3:D30)</f>
        <v>sum</v>
      </c>
      <c r="E35" s="7" t="str">
        <f>SUM(E3:E30)</f>
        <v>sum</v>
      </c>
      <c r="F35" s="7" t="str">
        <f>SUM(F3:F30)</f>
        <v>sum</v>
      </c>
      <c r="G35" s="7" t="str">
        <f>SUM(G3:G30)</f>
        <v>sum</v>
      </c>
      <c r="H35" s="7" t="str">
        <f>SUM(H3:H30)</f>
        <v>sum</v>
      </c>
      <c r="I35" s="7" t="str">
        <f>SUM(I3:I30)</f>
        <v>sum</v>
      </c>
      <c r="J35" s="7" t="str">
        <f>SUM(J3:J30)</f>
        <v>sum</v>
      </c>
      <c r="K35" s="7" t="str">
        <f>SUM(K3:K30)</f>
        <v>sum</v>
      </c>
      <c r="L35" s="7" t="str">
        <f>SUM(L3:L30)</f>
        <v>sum</v>
      </c>
      <c r="M35" s="7" t="str">
        <f>SUM(M3:M30)</f>
        <v>sum</v>
      </c>
    </row>
  </sheetData>
  <pageMargins left="0.7" right="0.7" top="0.75" bottom="0.75" header="0.25" footer="0.25"/>
  <pageSetup orientation="landscape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44.7109375" customWidth="1"/>
    <col min="2" max="13" width="19.7109375" customWidth="1"/>
  </cols>
  <sheetData>
    <row r="1" spans="1:13">
      <c r="A1" s="1" t="s">
        <v>47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3" t="s">
        <v>48</v>
      </c>
      <c r="B3" s="3">
        <f>216</f>
        <v>216</v>
      </c>
      <c r="C3" s="3">
        <f>44</f>
        <v>44</v>
      </c>
      <c r="D3" s="3">
        <f>463</f>
        <v>463</v>
      </c>
      <c r="E3" s="3">
        <f>183</f>
        <v>183</v>
      </c>
      <c r="F3" s="3">
        <f>500</f>
        <v>500</v>
      </c>
      <c r="G3" s="3">
        <f>310</f>
        <v>310</v>
      </c>
      <c r="H3" s="3">
        <f>352</f>
        <v>352</v>
      </c>
      <c r="I3" s="3">
        <f>115</f>
        <v>115</v>
      </c>
      <c r="J3" s="3">
        <f>398</f>
        <v>398</v>
      </c>
      <c r="K3" s="3">
        <f>246</f>
        <v>246</v>
      </c>
      <c r="L3" s="3">
        <f>268</f>
        <v>268</v>
      </c>
      <c r="M3" s="3">
        <f>369</f>
        <v>369</v>
      </c>
    </row>
    <row r="4" spans="1:13">
      <c r="A4" s="4" t="s">
        <v>49</v>
      </c>
      <c r="B4" s="4">
        <f>145</f>
        <v>145</v>
      </c>
      <c r="C4" s="4">
        <f>494</f>
        <v>494</v>
      </c>
      <c r="D4" s="4">
        <f>318</f>
        <v>318</v>
      </c>
      <c r="E4" s="4">
        <f>359</f>
        <v>359</v>
      </c>
      <c r="F4" s="4">
        <f>443</f>
        <v>443</v>
      </c>
      <c r="G4" s="4">
        <f>356</f>
        <v>356</v>
      </c>
      <c r="H4" s="4">
        <f>373</f>
        <v>373</v>
      </c>
      <c r="I4" s="4">
        <f>266</f>
        <v>266</v>
      </c>
      <c r="J4" s="4">
        <f>397</f>
        <v>397</v>
      </c>
      <c r="K4" s="4">
        <f>216</f>
        <v>216</v>
      </c>
      <c r="L4" s="4">
        <f>494</f>
        <v>494</v>
      </c>
      <c r="M4" s="4">
        <f>455</f>
        <v>455</v>
      </c>
    </row>
    <row r="5" spans="1:13">
      <c r="A5" s="3" t="s">
        <v>50</v>
      </c>
      <c r="B5" s="3">
        <f>440</f>
        <v>440</v>
      </c>
      <c r="C5" s="3">
        <f>372</f>
        <v>372</v>
      </c>
      <c r="D5" s="3">
        <f>247</f>
        <v>247</v>
      </c>
      <c r="E5" s="3">
        <f>437</f>
        <v>437</v>
      </c>
      <c r="F5" s="3">
        <f>141</f>
        <v>141</v>
      </c>
      <c r="G5" s="3">
        <f>491</f>
        <v>491</v>
      </c>
      <c r="H5" s="3">
        <f>194</f>
        <v>194</v>
      </c>
      <c r="I5" s="3">
        <f>83</f>
        <v>83</v>
      </c>
      <c r="J5" s="3">
        <f>58</f>
        <v>58</v>
      </c>
      <c r="K5" s="3">
        <f>315</f>
        <v>315</v>
      </c>
      <c r="L5" s="3">
        <f>211</f>
        <v>211</v>
      </c>
      <c r="M5" s="3">
        <f>239</f>
        <v>239</v>
      </c>
    </row>
    <row r="6" spans="1:13">
      <c r="A6" s="4" t="s">
        <v>51</v>
      </c>
      <c r="B6" s="4">
        <f>411</f>
        <v>411</v>
      </c>
      <c r="C6" s="4">
        <f>408</f>
        <v>408</v>
      </c>
      <c r="D6" s="4">
        <f>418</f>
        <v>418</v>
      </c>
      <c r="E6" s="4">
        <f>490</f>
        <v>490</v>
      </c>
      <c r="F6" s="4">
        <f>104</f>
        <v>104</v>
      </c>
      <c r="G6" s="4">
        <f>306</f>
        <v>306</v>
      </c>
      <c r="H6" s="4">
        <f>316</f>
        <v>316</v>
      </c>
      <c r="I6" s="4">
        <f>185</f>
        <v>185</v>
      </c>
      <c r="J6" s="4">
        <f>149</f>
        <v>149</v>
      </c>
      <c r="K6" s="4">
        <f>87</f>
        <v>87</v>
      </c>
      <c r="L6" s="4">
        <f>301</f>
        <v>301</v>
      </c>
      <c r="M6" s="4">
        <f>322</f>
        <v>322</v>
      </c>
    </row>
    <row r="7" spans="1:13">
      <c r="A7" s="3" t="s">
        <v>18</v>
      </c>
      <c r="B7" s="5">
        <v>44</v>
      </c>
      <c r="C7" s="5">
        <v>71</v>
      </c>
      <c r="D7" s="5">
        <v>48</v>
      </c>
      <c r="E7" s="5">
        <v>86</v>
      </c>
      <c r="F7" s="5">
        <v>25</v>
      </c>
      <c r="G7" s="5">
        <v>7</v>
      </c>
      <c r="H7" s="5">
        <v>8</v>
      </c>
      <c r="I7" s="5">
        <v>74</v>
      </c>
      <c r="J7" s="5">
        <v>80</v>
      </c>
      <c r="K7" s="5">
        <v>38</v>
      </c>
      <c r="L7" s="5">
        <v>35</v>
      </c>
      <c r="M7" s="5">
        <v>43</v>
      </c>
    </row>
    <row r="8" spans="1:13">
      <c r="A8" s="4" t="s">
        <v>19</v>
      </c>
      <c r="B8" s="6">
        <v>97</v>
      </c>
      <c r="C8" s="6">
        <v>59</v>
      </c>
      <c r="D8" s="6">
        <v>69</v>
      </c>
      <c r="E8" s="6">
        <v>19</v>
      </c>
      <c r="F8" s="6">
        <v>98</v>
      </c>
      <c r="G8" s="6">
        <v>12</v>
      </c>
      <c r="H8" s="6">
        <v>52</v>
      </c>
      <c r="I8" s="6">
        <v>38</v>
      </c>
      <c r="J8" s="6">
        <v>85</v>
      </c>
      <c r="K8" s="6">
        <v>69</v>
      </c>
      <c r="L8" s="6">
        <v>50</v>
      </c>
      <c r="M8" s="6">
        <v>20</v>
      </c>
    </row>
    <row r="9" spans="1:13">
      <c r="A9" s="3" t="s">
        <v>20</v>
      </c>
      <c r="B9" s="5">
        <v>11</v>
      </c>
      <c r="C9" s="5">
        <v>88</v>
      </c>
      <c r="D9" s="5">
        <v>20</v>
      </c>
      <c r="E9" s="5">
        <v>62</v>
      </c>
      <c r="F9" s="5">
        <v>43</v>
      </c>
      <c r="G9" s="5">
        <v>78</v>
      </c>
      <c r="H9" s="5">
        <v>99</v>
      </c>
      <c r="I9" s="5">
        <v>5</v>
      </c>
      <c r="J9" s="5">
        <v>63</v>
      </c>
      <c r="K9" s="5">
        <v>48</v>
      </c>
      <c r="L9" s="5">
        <v>35</v>
      </c>
      <c r="M9" s="5">
        <v>100</v>
      </c>
    </row>
    <row r="10" spans="1:13">
      <c r="A10" s="4" t="s">
        <v>21</v>
      </c>
      <c r="B10" s="6">
        <v>79</v>
      </c>
      <c r="C10" s="6">
        <v>77</v>
      </c>
      <c r="D10" s="6">
        <v>96</v>
      </c>
      <c r="E10" s="6">
        <v>85</v>
      </c>
      <c r="F10" s="6">
        <v>90</v>
      </c>
      <c r="G10" s="6">
        <v>73</v>
      </c>
      <c r="H10" s="6">
        <v>81</v>
      </c>
      <c r="I10" s="6">
        <v>34</v>
      </c>
      <c r="J10" s="6">
        <v>49</v>
      </c>
      <c r="K10" s="6">
        <v>43</v>
      </c>
      <c r="L10" s="6">
        <v>41</v>
      </c>
      <c r="M10" s="6">
        <v>90</v>
      </c>
    </row>
    <row r="11" spans="1:13">
      <c r="A11" s="3" t="s">
        <v>22</v>
      </c>
      <c r="B11" s="5">
        <v>96</v>
      </c>
      <c r="C11" s="5">
        <v>78</v>
      </c>
      <c r="D11" s="5">
        <v>91</v>
      </c>
      <c r="E11" s="5">
        <v>22</v>
      </c>
      <c r="F11" s="5">
        <v>96</v>
      </c>
      <c r="G11" s="5">
        <v>53</v>
      </c>
      <c r="H11" s="5">
        <v>71</v>
      </c>
      <c r="I11" s="5">
        <v>99</v>
      </c>
      <c r="J11" s="5">
        <v>36</v>
      </c>
      <c r="K11" s="5">
        <v>18</v>
      </c>
      <c r="L11" s="5">
        <v>46</v>
      </c>
      <c r="M11" s="5">
        <v>71</v>
      </c>
    </row>
    <row r="12" spans="1:13">
      <c r="A12" s="4" t="s">
        <v>23</v>
      </c>
      <c r="B12" s="6">
        <v>79</v>
      </c>
      <c r="C12" s="6">
        <v>29</v>
      </c>
      <c r="D12" s="6">
        <v>51</v>
      </c>
      <c r="E12" s="6">
        <v>63</v>
      </c>
      <c r="F12" s="6">
        <v>17</v>
      </c>
      <c r="G12" s="6">
        <v>23</v>
      </c>
      <c r="H12" s="6">
        <v>96</v>
      </c>
      <c r="I12" s="6">
        <v>59</v>
      </c>
      <c r="J12" s="6">
        <v>57</v>
      </c>
      <c r="K12" s="6">
        <v>15</v>
      </c>
      <c r="L12" s="6">
        <v>16</v>
      </c>
      <c r="M12" s="6">
        <v>12</v>
      </c>
    </row>
    <row r="13" spans="1:13">
      <c r="A13" s="3" t="s">
        <v>24</v>
      </c>
      <c r="B13" s="5">
        <v>59</v>
      </c>
      <c r="C13" s="5">
        <v>21</v>
      </c>
      <c r="D13" s="5">
        <v>65</v>
      </c>
      <c r="E13" s="5">
        <v>32</v>
      </c>
      <c r="F13" s="5">
        <v>62</v>
      </c>
      <c r="G13" s="5">
        <v>14</v>
      </c>
      <c r="H13" s="5">
        <v>52</v>
      </c>
      <c r="I13" s="5">
        <v>91</v>
      </c>
      <c r="J13" s="5">
        <v>72</v>
      </c>
      <c r="K13" s="5">
        <v>56</v>
      </c>
      <c r="L13" s="5">
        <v>80</v>
      </c>
      <c r="M13" s="5">
        <v>76</v>
      </c>
    </row>
    <row r="14" spans="1:13">
      <c r="A14" s="4" t="s">
        <v>25</v>
      </c>
      <c r="B14" s="6">
        <v>71</v>
      </c>
      <c r="C14" s="6">
        <v>55</v>
      </c>
      <c r="D14" s="6">
        <v>38</v>
      </c>
      <c r="E14" s="6">
        <v>79</v>
      </c>
      <c r="F14" s="6">
        <v>68</v>
      </c>
      <c r="G14" s="6">
        <v>86</v>
      </c>
      <c r="H14" s="6">
        <v>59</v>
      </c>
      <c r="I14" s="6">
        <v>61</v>
      </c>
      <c r="J14" s="6">
        <v>93</v>
      </c>
      <c r="K14" s="6">
        <v>67</v>
      </c>
      <c r="L14" s="6">
        <v>98</v>
      </c>
      <c r="M14" s="6">
        <v>58</v>
      </c>
    </row>
    <row r="15" spans="1:13">
      <c r="A15" s="3" t="s">
        <v>26</v>
      </c>
      <c r="B15" s="5">
        <v>25</v>
      </c>
      <c r="C15" s="5">
        <v>23</v>
      </c>
      <c r="D15" s="5">
        <v>69</v>
      </c>
      <c r="E15" s="5">
        <v>21</v>
      </c>
      <c r="F15" s="5">
        <v>67</v>
      </c>
      <c r="G15" s="5">
        <v>96</v>
      </c>
      <c r="H15" s="5">
        <v>63</v>
      </c>
      <c r="I15" s="5">
        <v>21</v>
      </c>
      <c r="J15" s="5">
        <v>95</v>
      </c>
      <c r="K15" s="5">
        <v>70</v>
      </c>
      <c r="L15" s="5">
        <v>72</v>
      </c>
      <c r="M15" s="5">
        <v>20</v>
      </c>
    </row>
    <row r="16" spans="1:13">
      <c r="A16" s="4" t="s">
        <v>27</v>
      </c>
      <c r="B16" s="6">
        <v>93</v>
      </c>
      <c r="C16" s="6">
        <v>32</v>
      </c>
      <c r="D16" s="6">
        <v>63</v>
      </c>
      <c r="E16" s="6">
        <v>65</v>
      </c>
      <c r="F16" s="6">
        <v>9</v>
      </c>
      <c r="G16" s="6">
        <v>100</v>
      </c>
      <c r="H16" s="6">
        <v>25</v>
      </c>
      <c r="I16" s="6">
        <v>76</v>
      </c>
      <c r="J16" s="6">
        <v>52</v>
      </c>
      <c r="K16" s="6">
        <v>20</v>
      </c>
      <c r="L16" s="6">
        <v>82</v>
      </c>
      <c r="M16" s="6">
        <v>57</v>
      </c>
    </row>
    <row r="17" spans="1:13">
      <c r="A17" s="3" t="s">
        <v>28</v>
      </c>
      <c r="B17" s="5">
        <v>19</v>
      </c>
      <c r="C17" s="5">
        <v>20</v>
      </c>
      <c r="D17" s="5">
        <v>52</v>
      </c>
      <c r="E17" s="5">
        <v>78</v>
      </c>
      <c r="F17" s="5">
        <v>42</v>
      </c>
      <c r="G17" s="5">
        <v>10</v>
      </c>
      <c r="H17" s="5">
        <v>71</v>
      </c>
      <c r="I17" s="5">
        <v>24</v>
      </c>
      <c r="J17" s="5">
        <v>20</v>
      </c>
      <c r="K17" s="5">
        <v>52</v>
      </c>
      <c r="L17" s="5">
        <v>44</v>
      </c>
      <c r="M17" s="5">
        <v>52</v>
      </c>
    </row>
    <row r="18" spans="1:13">
      <c r="A18" s="4" t="s">
        <v>29</v>
      </c>
      <c r="B18" s="6">
        <v>43</v>
      </c>
      <c r="C18" s="6">
        <v>42</v>
      </c>
      <c r="D18" s="6">
        <v>67</v>
      </c>
      <c r="E18" s="6">
        <v>8</v>
      </c>
      <c r="F18" s="6">
        <v>23</v>
      </c>
      <c r="G18" s="6">
        <v>23</v>
      </c>
      <c r="H18" s="6">
        <v>80</v>
      </c>
      <c r="I18" s="6">
        <v>58</v>
      </c>
      <c r="J18" s="6">
        <v>11</v>
      </c>
      <c r="K18" s="6">
        <v>44</v>
      </c>
      <c r="L18" s="6">
        <v>41</v>
      </c>
      <c r="M18" s="6">
        <v>32</v>
      </c>
    </row>
    <row r="19" spans="1:13">
      <c r="A19" s="3" t="s">
        <v>30</v>
      </c>
      <c r="B19" s="5">
        <v>28</v>
      </c>
      <c r="C19" s="5">
        <v>99</v>
      </c>
      <c r="D19" s="5">
        <v>67</v>
      </c>
      <c r="E19" s="5">
        <v>5</v>
      </c>
      <c r="F19" s="5">
        <v>20</v>
      </c>
      <c r="G19" s="5">
        <v>75</v>
      </c>
      <c r="H19" s="5">
        <v>49</v>
      </c>
      <c r="I19" s="5">
        <v>13</v>
      </c>
      <c r="J19" s="5">
        <v>10</v>
      </c>
      <c r="K19" s="5">
        <v>58</v>
      </c>
      <c r="L19" s="5">
        <v>66</v>
      </c>
      <c r="M19" s="5">
        <v>78</v>
      </c>
    </row>
    <row r="20" spans="1:13">
      <c r="A20" s="4" t="s">
        <v>31</v>
      </c>
      <c r="B20" s="6">
        <v>44</v>
      </c>
      <c r="C20" s="6">
        <v>77</v>
      </c>
      <c r="D20" s="6">
        <v>62</v>
      </c>
      <c r="E20" s="6">
        <v>48</v>
      </c>
      <c r="F20" s="6">
        <v>53</v>
      </c>
      <c r="G20" s="6">
        <v>65</v>
      </c>
      <c r="H20" s="6">
        <v>97</v>
      </c>
      <c r="I20" s="6">
        <v>82</v>
      </c>
      <c r="J20" s="6">
        <v>21</v>
      </c>
      <c r="K20" s="6">
        <v>22</v>
      </c>
      <c r="L20" s="6">
        <v>69</v>
      </c>
      <c r="M20" s="6">
        <v>86</v>
      </c>
    </row>
    <row r="21" spans="1:13">
      <c r="A21" s="3" t="s">
        <v>32</v>
      </c>
      <c r="B21" s="5">
        <v>63</v>
      </c>
      <c r="C21" s="5">
        <v>62</v>
      </c>
      <c r="D21" s="5">
        <v>90</v>
      </c>
      <c r="E21" s="5">
        <v>62</v>
      </c>
      <c r="F21" s="5">
        <v>24</v>
      </c>
      <c r="G21" s="5">
        <v>98</v>
      </c>
      <c r="H21" s="5">
        <v>46</v>
      </c>
      <c r="I21" s="5">
        <v>16</v>
      </c>
      <c r="J21" s="5">
        <v>84</v>
      </c>
      <c r="K21" s="5">
        <v>90</v>
      </c>
      <c r="L21" s="5">
        <v>84</v>
      </c>
      <c r="M21" s="5">
        <v>57</v>
      </c>
    </row>
    <row r="22" spans="1:13">
      <c r="A22" s="4" t="s">
        <v>33</v>
      </c>
      <c r="B22" s="6">
        <v>54</v>
      </c>
      <c r="C22" s="6">
        <v>34</v>
      </c>
      <c r="D22" s="6">
        <v>55</v>
      </c>
      <c r="E22" s="6">
        <v>48</v>
      </c>
      <c r="F22" s="6">
        <v>74</v>
      </c>
      <c r="G22" s="6">
        <v>10</v>
      </c>
      <c r="H22" s="6">
        <v>90</v>
      </c>
      <c r="I22" s="6">
        <v>61</v>
      </c>
      <c r="J22" s="6">
        <v>99</v>
      </c>
      <c r="K22" s="6">
        <v>40</v>
      </c>
      <c r="L22" s="6">
        <v>87</v>
      </c>
      <c r="M22" s="6">
        <v>16</v>
      </c>
    </row>
    <row r="23" spans="1:13">
      <c r="A23" s="3" t="s">
        <v>34</v>
      </c>
      <c r="B23" s="5">
        <v>26</v>
      </c>
      <c r="C23" s="5">
        <v>95</v>
      </c>
      <c r="D23" s="5">
        <v>8</v>
      </c>
      <c r="E23" s="5">
        <v>78</v>
      </c>
      <c r="F23" s="5">
        <v>85</v>
      </c>
      <c r="G23" s="5">
        <v>95</v>
      </c>
      <c r="H23" s="5">
        <v>44</v>
      </c>
      <c r="I23" s="5">
        <v>76</v>
      </c>
      <c r="J23" s="5">
        <v>87</v>
      </c>
      <c r="K23" s="5">
        <v>20</v>
      </c>
      <c r="L23" s="5">
        <v>87</v>
      </c>
      <c r="M23" s="5">
        <v>76</v>
      </c>
    </row>
    <row r="24" spans="1:13">
      <c r="A24" s="4" t="s">
        <v>35</v>
      </c>
      <c r="B24" s="6">
        <v>15</v>
      </c>
      <c r="C24" s="6">
        <v>29</v>
      </c>
      <c r="D24" s="6">
        <v>84</v>
      </c>
      <c r="E24" s="6">
        <v>74</v>
      </c>
      <c r="F24" s="6">
        <v>78</v>
      </c>
      <c r="G24" s="6">
        <v>11</v>
      </c>
      <c r="H24" s="6">
        <v>77</v>
      </c>
      <c r="I24" s="6">
        <v>71</v>
      </c>
      <c r="J24" s="6">
        <v>29</v>
      </c>
      <c r="K24" s="6">
        <v>65</v>
      </c>
      <c r="L24" s="6">
        <v>69</v>
      </c>
      <c r="M24" s="6">
        <v>7</v>
      </c>
    </row>
    <row r="25" spans="1:13">
      <c r="A25" s="3" t="s">
        <v>36</v>
      </c>
      <c r="B25" s="5">
        <v>20</v>
      </c>
      <c r="C25" s="5">
        <v>89</v>
      </c>
      <c r="D25" s="5">
        <v>73</v>
      </c>
      <c r="E25" s="5">
        <v>28</v>
      </c>
      <c r="F25" s="5">
        <v>7</v>
      </c>
      <c r="G25" s="5">
        <v>40</v>
      </c>
      <c r="H25" s="5">
        <v>31</v>
      </c>
      <c r="I25" s="5">
        <v>36</v>
      </c>
      <c r="J25" s="5">
        <v>95</v>
      </c>
      <c r="K25" s="5">
        <v>79</v>
      </c>
      <c r="L25" s="5">
        <v>61</v>
      </c>
      <c r="M25" s="5">
        <v>15</v>
      </c>
    </row>
    <row r="26" spans="1:13">
      <c r="A26" s="4" t="s">
        <v>37</v>
      </c>
      <c r="B26" s="6">
        <v>73</v>
      </c>
      <c r="C26" s="6">
        <v>82</v>
      </c>
      <c r="D26" s="6">
        <v>46</v>
      </c>
      <c r="E26" s="6">
        <v>56</v>
      </c>
      <c r="F26" s="6">
        <v>80</v>
      </c>
      <c r="G26" s="6">
        <v>10</v>
      </c>
      <c r="H26" s="6">
        <v>67</v>
      </c>
      <c r="I26" s="6">
        <v>7</v>
      </c>
      <c r="J26" s="6">
        <v>48</v>
      </c>
      <c r="K26" s="6">
        <v>60</v>
      </c>
      <c r="L26" s="6">
        <v>28</v>
      </c>
      <c r="M26" s="6">
        <v>58</v>
      </c>
    </row>
    <row r="27" spans="1:13">
      <c r="A27" s="3" t="s">
        <v>38</v>
      </c>
      <c r="B27" s="5">
        <v>8</v>
      </c>
      <c r="C27" s="5">
        <v>72</v>
      </c>
      <c r="D27" s="5">
        <v>45</v>
      </c>
      <c r="E27" s="5">
        <v>53</v>
      </c>
      <c r="F27" s="5">
        <v>37</v>
      </c>
      <c r="G27" s="5">
        <v>16</v>
      </c>
      <c r="H27" s="5">
        <v>19</v>
      </c>
      <c r="I27" s="5">
        <v>17</v>
      </c>
      <c r="J27" s="5">
        <v>74</v>
      </c>
      <c r="K27" s="5">
        <v>26</v>
      </c>
      <c r="L27" s="5">
        <v>41</v>
      </c>
      <c r="M27" s="5">
        <v>23</v>
      </c>
    </row>
    <row r="28" spans="1:13">
      <c r="A28" s="4" t="s">
        <v>39</v>
      </c>
      <c r="B28" s="6">
        <v>28</v>
      </c>
      <c r="C28" s="6">
        <v>37</v>
      </c>
      <c r="D28" s="6">
        <v>16</v>
      </c>
      <c r="E28" s="6">
        <v>24</v>
      </c>
      <c r="F28" s="6">
        <v>44</v>
      </c>
      <c r="G28" s="6">
        <v>57</v>
      </c>
      <c r="H28" s="6">
        <v>91</v>
      </c>
      <c r="I28" s="6">
        <v>26</v>
      </c>
      <c r="J28" s="6">
        <v>12</v>
      </c>
      <c r="K28" s="6">
        <v>83</v>
      </c>
      <c r="L28" s="6">
        <v>46</v>
      </c>
      <c r="M28" s="6">
        <v>28</v>
      </c>
    </row>
    <row r="29" spans="1:13">
      <c r="A29" s="3" t="s">
        <v>40</v>
      </c>
      <c r="B29" s="5">
        <v>8</v>
      </c>
      <c r="C29" s="5">
        <v>96</v>
      </c>
      <c r="D29" s="5">
        <v>12</v>
      </c>
      <c r="E29" s="5">
        <v>43</v>
      </c>
      <c r="F29" s="5">
        <v>54</v>
      </c>
      <c r="G29" s="5">
        <v>17</v>
      </c>
      <c r="H29" s="5">
        <v>45</v>
      </c>
      <c r="I29" s="5">
        <v>23</v>
      </c>
      <c r="J29" s="5">
        <v>57</v>
      </c>
      <c r="K29" s="5">
        <v>46</v>
      </c>
      <c r="L29" s="5">
        <v>38</v>
      </c>
      <c r="M29" s="5">
        <v>53</v>
      </c>
    </row>
    <row r="30" spans="1:13">
      <c r="A30" s="4" t="s">
        <v>41</v>
      </c>
      <c r="B30" s="6">
        <v>20</v>
      </c>
      <c r="C30" s="6">
        <v>11</v>
      </c>
      <c r="D30" s="6">
        <v>30</v>
      </c>
      <c r="E30" s="6">
        <v>35</v>
      </c>
      <c r="F30" s="6">
        <v>81</v>
      </c>
      <c r="G30" s="6">
        <v>80</v>
      </c>
      <c r="H30" s="6">
        <v>35</v>
      </c>
      <c r="I30" s="6">
        <v>68</v>
      </c>
      <c r="J30" s="6">
        <v>70</v>
      </c>
      <c r="K30" s="6">
        <v>69</v>
      </c>
      <c r="L30" s="6">
        <v>54</v>
      </c>
      <c r="M30" s="6">
        <v>19</v>
      </c>
    </row>
    <row r="31" spans="1:13">
      <c r="A31" s="3" t="s">
        <v>42</v>
      </c>
      <c r="B31" s="5">
        <v>39</v>
      </c>
      <c r="C31" s="5">
        <v>12</v>
      </c>
      <c r="D31" s="5">
        <v>45</v>
      </c>
      <c r="E31" s="5">
        <v>64</v>
      </c>
      <c r="F31" s="5">
        <v>75</v>
      </c>
      <c r="G31" s="5">
        <v>57</v>
      </c>
      <c r="H31" s="5">
        <v>13</v>
      </c>
      <c r="I31" s="5">
        <v>66</v>
      </c>
      <c r="J31" s="5">
        <v>8</v>
      </c>
      <c r="K31" s="5">
        <v>57</v>
      </c>
      <c r="L31" s="5">
        <v>86</v>
      </c>
      <c r="M31" s="5">
        <v>34</v>
      </c>
    </row>
    <row r="32" spans="1:13">
      <c r="A32" s="7" t="s">
        <v>43</v>
      </c>
      <c r="B32" s="8">
        <v>7</v>
      </c>
      <c r="C32" s="8">
        <v>39</v>
      </c>
      <c r="D32" s="8">
        <v>75</v>
      </c>
      <c r="E32" s="8">
        <v>80</v>
      </c>
      <c r="F32" s="8">
        <v>91</v>
      </c>
      <c r="G32" s="8">
        <v>17</v>
      </c>
      <c r="H32" s="8">
        <v>36</v>
      </c>
      <c r="I32" s="8">
        <v>76</v>
      </c>
      <c r="J32" s="8">
        <v>88</v>
      </c>
      <c r="K32" s="8">
        <v>21</v>
      </c>
      <c r="L32" s="8">
        <v>43</v>
      </c>
      <c r="M32" s="8">
        <v>77</v>
      </c>
    </row>
    <row r="33" spans="1:13">
      <c r="A33" s="7" t="s">
        <v>44</v>
      </c>
      <c r="B33" s="8">
        <v>57</v>
      </c>
      <c r="C33" s="8">
        <v>62</v>
      </c>
      <c r="D33" s="8">
        <v>15</v>
      </c>
      <c r="E33" s="8">
        <v>86</v>
      </c>
      <c r="F33" s="8">
        <v>69</v>
      </c>
      <c r="G33" s="8">
        <v>31</v>
      </c>
      <c r="H33" s="8">
        <v>23</v>
      </c>
      <c r="I33" s="8">
        <v>52</v>
      </c>
      <c r="J33" s="8">
        <v>74</v>
      </c>
      <c r="K33" s="8">
        <v>26</v>
      </c>
      <c r="L33" s="8">
        <v>36</v>
      </c>
      <c r="M33" s="8">
        <v>73</v>
      </c>
    </row>
    <row r="34" spans="1:13">
      <c r="A34" s="7" t="s">
        <v>45</v>
      </c>
      <c r="B34" s="8">
        <v>59</v>
      </c>
      <c r="C34" s="8">
        <v>76</v>
      </c>
      <c r="D34" s="8">
        <v>62</v>
      </c>
      <c r="E34" s="8">
        <v>10</v>
      </c>
      <c r="F34" s="8">
        <v>5</v>
      </c>
      <c r="G34" s="8">
        <v>64</v>
      </c>
      <c r="H34" s="8">
        <v>84</v>
      </c>
      <c r="I34" s="8">
        <v>42</v>
      </c>
      <c r="J34" s="8">
        <v>88</v>
      </c>
      <c r="K34" s="8">
        <v>26</v>
      </c>
      <c r="L34" s="8">
        <v>5</v>
      </c>
      <c r="M34" s="8">
        <v>12</v>
      </c>
    </row>
    <row r="35" spans="1:13">
      <c r="A35" s="7" t="s">
        <v>46</v>
      </c>
      <c r="B35" s="7" t="str">
        <f>SUM(B3:B30)</f>
        <v>sum</v>
      </c>
      <c r="C35" s="7" t="str">
        <f>SUM(C3:C30)</f>
        <v>sum</v>
      </c>
      <c r="D35" s="7" t="str">
        <f>SUM(D3:D30)</f>
        <v>sum</v>
      </c>
      <c r="E35" s="7" t="str">
        <f>SUM(E3:E30)</f>
        <v>sum</v>
      </c>
      <c r="F35" s="7" t="str">
        <f>SUM(F3:F30)</f>
        <v>sum</v>
      </c>
      <c r="G35" s="7" t="str">
        <f>SUM(G3:G30)</f>
        <v>sum</v>
      </c>
      <c r="H35" s="7" t="str">
        <f>SUM(H3:H30)</f>
        <v>sum</v>
      </c>
      <c r="I35" s="7" t="str">
        <f>SUM(I3:I30)</f>
        <v>sum</v>
      </c>
      <c r="J35" s="7" t="str">
        <f>SUM(J3:J30)</f>
        <v>sum</v>
      </c>
      <c r="K35" s="7" t="str">
        <f>SUM(K3:K30)</f>
        <v>sum</v>
      </c>
      <c r="L35" s="7" t="str">
        <f>SUM(L3:L30)</f>
        <v>sum</v>
      </c>
      <c r="M35" s="7" t="str">
        <f>SUM(M3:M30)</f>
        <v>sum</v>
      </c>
    </row>
  </sheetData>
  <pageMargins left="0.7" right="0.7" top="0.75" bottom="0.75" header="0.25" footer="0.25"/>
  <pageSetup orientation="landscape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42.7109375" customWidth="1"/>
    <col min="2" max="13" width="19.7109375" customWidth="1"/>
  </cols>
  <sheetData>
    <row r="1" spans="1:13">
      <c r="A1" s="1" t="s">
        <v>52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3" t="s">
        <v>53</v>
      </c>
      <c r="B3" s="3">
        <f>286</f>
        <v>286</v>
      </c>
      <c r="C3" s="3">
        <f>179</f>
        <v>179</v>
      </c>
      <c r="D3" s="3">
        <f>346</f>
        <v>346</v>
      </c>
      <c r="E3" s="3">
        <f>168</f>
        <v>168</v>
      </c>
      <c r="F3" s="3">
        <f>469</f>
        <v>469</v>
      </c>
      <c r="G3" s="3">
        <f>388</f>
        <v>388</v>
      </c>
      <c r="H3" s="3">
        <f>234</f>
        <v>234</v>
      </c>
      <c r="I3" s="3">
        <f>219</f>
        <v>219</v>
      </c>
      <c r="J3" s="3">
        <f>471</f>
        <v>471</v>
      </c>
      <c r="K3" s="3">
        <f>363</f>
        <v>363</v>
      </c>
      <c r="L3" s="3">
        <f>148</f>
        <v>148</v>
      </c>
      <c r="M3" s="3">
        <f>339</f>
        <v>339</v>
      </c>
    </row>
    <row r="4" spans="1:13">
      <c r="A4" s="4" t="s">
        <v>54</v>
      </c>
      <c r="B4" s="4">
        <f>470</f>
        <v>470</v>
      </c>
      <c r="C4" s="4">
        <f>301</f>
        <v>301</v>
      </c>
      <c r="D4" s="4">
        <f>184</f>
        <v>184</v>
      </c>
      <c r="E4" s="4">
        <f>63</f>
        <v>63</v>
      </c>
      <c r="F4" s="4">
        <f>122</f>
        <v>122</v>
      </c>
      <c r="G4" s="4">
        <f>418</f>
        <v>418</v>
      </c>
      <c r="H4" s="4">
        <f>313</f>
        <v>313</v>
      </c>
      <c r="I4" s="4">
        <f>328</f>
        <v>328</v>
      </c>
      <c r="J4" s="4">
        <f>75</f>
        <v>75</v>
      </c>
      <c r="K4" s="4">
        <f>193</f>
        <v>193</v>
      </c>
      <c r="L4" s="4">
        <f>85</f>
        <v>85</v>
      </c>
      <c r="M4" s="4">
        <f>242</f>
        <v>242</v>
      </c>
    </row>
    <row r="5" spans="1:13">
      <c r="A5" s="3" t="s">
        <v>55</v>
      </c>
      <c r="B5" s="3">
        <f>397</f>
        <v>397</v>
      </c>
      <c r="C5" s="3">
        <f>102</f>
        <v>102</v>
      </c>
      <c r="D5" s="3">
        <f>465</f>
        <v>465</v>
      </c>
      <c r="E5" s="3">
        <f>111</f>
        <v>111</v>
      </c>
      <c r="F5" s="3">
        <f>411</f>
        <v>411</v>
      </c>
      <c r="G5" s="3">
        <f>324</f>
        <v>324</v>
      </c>
      <c r="H5" s="3">
        <f>183</f>
        <v>183</v>
      </c>
      <c r="I5" s="3">
        <f>489</f>
        <v>489</v>
      </c>
      <c r="J5" s="3">
        <f>261</f>
        <v>261</v>
      </c>
      <c r="K5" s="3">
        <f>147</f>
        <v>147</v>
      </c>
      <c r="L5" s="3">
        <f>352</f>
        <v>352</v>
      </c>
      <c r="M5" s="3">
        <f>298</f>
        <v>298</v>
      </c>
    </row>
    <row r="6" spans="1:13">
      <c r="A6" s="4" t="s">
        <v>56</v>
      </c>
      <c r="B6" s="4">
        <f>450</f>
        <v>450</v>
      </c>
      <c r="C6" s="4">
        <f>202</f>
        <v>202</v>
      </c>
      <c r="D6" s="4">
        <f>492</f>
        <v>492</v>
      </c>
      <c r="E6" s="4">
        <f>389</f>
        <v>389</v>
      </c>
      <c r="F6" s="4">
        <f>215</f>
        <v>215</v>
      </c>
      <c r="G6" s="4">
        <f>365</f>
        <v>365</v>
      </c>
      <c r="H6" s="4">
        <f>173</f>
        <v>173</v>
      </c>
      <c r="I6" s="4">
        <f>425</f>
        <v>425</v>
      </c>
      <c r="J6" s="4">
        <f>402</f>
        <v>402</v>
      </c>
      <c r="K6" s="4">
        <f>271</f>
        <v>271</v>
      </c>
      <c r="L6" s="4">
        <f>179</f>
        <v>179</v>
      </c>
      <c r="M6" s="4">
        <f>165</f>
        <v>165</v>
      </c>
    </row>
    <row r="7" spans="1:13">
      <c r="A7" s="3" t="s">
        <v>18</v>
      </c>
      <c r="B7" s="5">
        <v>89</v>
      </c>
      <c r="C7" s="5">
        <v>46</v>
      </c>
      <c r="D7" s="5">
        <v>48</v>
      </c>
      <c r="E7" s="5">
        <v>31</v>
      </c>
      <c r="F7" s="5">
        <v>63</v>
      </c>
      <c r="G7" s="5">
        <v>81</v>
      </c>
      <c r="H7" s="5">
        <v>47</v>
      </c>
      <c r="I7" s="5">
        <v>7</v>
      </c>
      <c r="J7" s="5">
        <v>93</v>
      </c>
      <c r="K7" s="5">
        <v>22</v>
      </c>
      <c r="L7" s="5">
        <v>87</v>
      </c>
      <c r="M7" s="5">
        <v>5</v>
      </c>
    </row>
    <row r="8" spans="1:13">
      <c r="A8" s="4" t="s">
        <v>19</v>
      </c>
      <c r="B8" s="6">
        <v>82</v>
      </c>
      <c r="C8" s="6">
        <v>65</v>
      </c>
      <c r="D8" s="6">
        <v>5</v>
      </c>
      <c r="E8" s="6">
        <v>6</v>
      </c>
      <c r="F8" s="6">
        <v>91</v>
      </c>
      <c r="G8" s="6">
        <v>27</v>
      </c>
      <c r="H8" s="6">
        <v>57</v>
      </c>
      <c r="I8" s="6">
        <v>76</v>
      </c>
      <c r="J8" s="6">
        <v>94</v>
      </c>
      <c r="K8" s="6">
        <v>95</v>
      </c>
      <c r="L8" s="6">
        <v>67</v>
      </c>
      <c r="M8" s="6">
        <v>55</v>
      </c>
    </row>
    <row r="9" spans="1:13">
      <c r="A9" s="3" t="s">
        <v>20</v>
      </c>
      <c r="B9" s="5">
        <v>73</v>
      </c>
      <c r="C9" s="5">
        <v>15</v>
      </c>
      <c r="D9" s="5">
        <v>88</v>
      </c>
      <c r="E9" s="5">
        <v>88</v>
      </c>
      <c r="F9" s="5">
        <v>14</v>
      </c>
      <c r="G9" s="5">
        <v>73</v>
      </c>
      <c r="H9" s="5">
        <v>8</v>
      </c>
      <c r="I9" s="5">
        <v>90</v>
      </c>
      <c r="J9" s="5">
        <v>61</v>
      </c>
      <c r="K9" s="5">
        <v>91</v>
      </c>
      <c r="L9" s="5">
        <v>20</v>
      </c>
      <c r="M9" s="5">
        <v>50</v>
      </c>
    </row>
    <row r="10" spans="1:13">
      <c r="A10" s="4" t="s">
        <v>21</v>
      </c>
      <c r="B10" s="6">
        <v>53</v>
      </c>
      <c r="C10" s="6">
        <v>81</v>
      </c>
      <c r="D10" s="6">
        <v>50</v>
      </c>
      <c r="E10" s="6">
        <v>54</v>
      </c>
      <c r="F10" s="6">
        <v>27</v>
      </c>
      <c r="G10" s="6">
        <v>94</v>
      </c>
      <c r="H10" s="6">
        <v>6</v>
      </c>
      <c r="I10" s="6">
        <v>20</v>
      </c>
      <c r="J10" s="6">
        <v>64</v>
      </c>
      <c r="K10" s="6">
        <v>52</v>
      </c>
      <c r="L10" s="6">
        <v>29</v>
      </c>
      <c r="M10" s="6">
        <v>61</v>
      </c>
    </row>
    <row r="11" spans="1:13">
      <c r="A11" s="3" t="s">
        <v>22</v>
      </c>
      <c r="B11" s="5">
        <v>6</v>
      </c>
      <c r="C11" s="5">
        <v>33</v>
      </c>
      <c r="D11" s="5">
        <v>100</v>
      </c>
      <c r="E11" s="5">
        <v>7</v>
      </c>
      <c r="F11" s="5">
        <v>40</v>
      </c>
      <c r="G11" s="5">
        <v>92</v>
      </c>
      <c r="H11" s="5">
        <v>95</v>
      </c>
      <c r="I11" s="5">
        <v>50</v>
      </c>
      <c r="J11" s="5">
        <v>29</v>
      </c>
      <c r="K11" s="5">
        <v>16</v>
      </c>
      <c r="L11" s="5">
        <v>83</v>
      </c>
      <c r="M11" s="5">
        <v>85</v>
      </c>
    </row>
    <row r="12" spans="1:13">
      <c r="A12" s="4" t="s">
        <v>23</v>
      </c>
      <c r="B12" s="6">
        <v>43</v>
      </c>
      <c r="C12" s="6">
        <v>96</v>
      </c>
      <c r="D12" s="6">
        <v>33</v>
      </c>
      <c r="E12" s="6">
        <v>34</v>
      </c>
      <c r="F12" s="6">
        <v>68</v>
      </c>
      <c r="G12" s="6">
        <v>51</v>
      </c>
      <c r="H12" s="6">
        <v>9</v>
      </c>
      <c r="I12" s="6">
        <v>40</v>
      </c>
      <c r="J12" s="6">
        <v>68</v>
      </c>
      <c r="K12" s="6">
        <v>95</v>
      </c>
      <c r="L12" s="6">
        <v>95</v>
      </c>
      <c r="M12" s="6">
        <v>82</v>
      </c>
    </row>
    <row r="13" spans="1:13">
      <c r="A13" s="3" t="s">
        <v>24</v>
      </c>
      <c r="B13" s="5">
        <v>31</v>
      </c>
      <c r="C13" s="5">
        <v>5</v>
      </c>
      <c r="D13" s="5">
        <v>30</v>
      </c>
      <c r="E13" s="5">
        <v>86</v>
      </c>
      <c r="F13" s="5">
        <v>55</v>
      </c>
      <c r="G13" s="5">
        <v>19</v>
      </c>
      <c r="H13" s="5">
        <v>40</v>
      </c>
      <c r="I13" s="5">
        <v>77</v>
      </c>
      <c r="J13" s="5">
        <v>69</v>
      </c>
      <c r="K13" s="5">
        <v>68</v>
      </c>
      <c r="L13" s="5">
        <v>26</v>
      </c>
      <c r="M13" s="5">
        <v>75</v>
      </c>
    </row>
    <row r="14" spans="1:13">
      <c r="A14" s="4" t="s">
        <v>25</v>
      </c>
      <c r="B14" s="6">
        <v>29</v>
      </c>
      <c r="C14" s="6">
        <v>89</v>
      </c>
      <c r="D14" s="6">
        <v>99</v>
      </c>
      <c r="E14" s="6">
        <v>77</v>
      </c>
      <c r="F14" s="6">
        <v>91</v>
      </c>
      <c r="G14" s="6">
        <v>92</v>
      </c>
      <c r="H14" s="6">
        <v>82</v>
      </c>
      <c r="I14" s="6">
        <v>77</v>
      </c>
      <c r="J14" s="6">
        <v>27</v>
      </c>
      <c r="K14" s="6">
        <v>13</v>
      </c>
      <c r="L14" s="6">
        <v>80</v>
      </c>
      <c r="M14" s="6">
        <v>21</v>
      </c>
    </row>
    <row r="15" spans="1:13">
      <c r="A15" s="3" t="s">
        <v>26</v>
      </c>
      <c r="B15" s="5">
        <v>100</v>
      </c>
      <c r="C15" s="5">
        <v>13</v>
      </c>
      <c r="D15" s="5">
        <v>21</v>
      </c>
      <c r="E15" s="5">
        <v>38</v>
      </c>
      <c r="F15" s="5">
        <v>77</v>
      </c>
      <c r="G15" s="5">
        <v>34</v>
      </c>
      <c r="H15" s="5">
        <v>71</v>
      </c>
      <c r="I15" s="5">
        <v>98</v>
      </c>
      <c r="J15" s="5">
        <v>40</v>
      </c>
      <c r="K15" s="5">
        <v>29</v>
      </c>
      <c r="L15" s="5">
        <v>91</v>
      </c>
      <c r="M15" s="5">
        <v>7</v>
      </c>
    </row>
    <row r="16" spans="1:13">
      <c r="A16" s="4" t="s">
        <v>27</v>
      </c>
      <c r="B16" s="6">
        <v>93</v>
      </c>
      <c r="C16" s="6">
        <v>91</v>
      </c>
      <c r="D16" s="6">
        <v>73</v>
      </c>
      <c r="E16" s="6">
        <v>83</v>
      </c>
      <c r="F16" s="6">
        <v>37</v>
      </c>
      <c r="G16" s="6">
        <v>92</v>
      </c>
      <c r="H16" s="6">
        <v>76</v>
      </c>
      <c r="I16" s="6">
        <v>63</v>
      </c>
      <c r="J16" s="6">
        <v>5</v>
      </c>
      <c r="K16" s="6">
        <v>59</v>
      </c>
      <c r="L16" s="6">
        <v>87</v>
      </c>
      <c r="M16" s="6">
        <v>91</v>
      </c>
    </row>
    <row r="17" spans="1:13">
      <c r="A17" s="3" t="s">
        <v>28</v>
      </c>
      <c r="B17" s="5">
        <v>88</v>
      </c>
      <c r="C17" s="5">
        <v>11</v>
      </c>
      <c r="D17" s="5">
        <v>46</v>
      </c>
      <c r="E17" s="5">
        <v>60</v>
      </c>
      <c r="F17" s="5">
        <v>57</v>
      </c>
      <c r="G17" s="5">
        <v>40</v>
      </c>
      <c r="H17" s="5">
        <v>20</v>
      </c>
      <c r="I17" s="5">
        <v>92</v>
      </c>
      <c r="J17" s="5">
        <v>71</v>
      </c>
      <c r="K17" s="5">
        <v>64</v>
      </c>
      <c r="L17" s="5">
        <v>68</v>
      </c>
      <c r="M17" s="5">
        <v>51</v>
      </c>
    </row>
    <row r="18" spans="1:13">
      <c r="A18" s="4" t="s">
        <v>29</v>
      </c>
      <c r="B18" s="6">
        <v>71</v>
      </c>
      <c r="C18" s="6">
        <v>10</v>
      </c>
      <c r="D18" s="6">
        <v>97</v>
      </c>
      <c r="E18" s="6">
        <v>33</v>
      </c>
      <c r="F18" s="6">
        <v>11</v>
      </c>
      <c r="G18" s="6">
        <v>40</v>
      </c>
      <c r="H18" s="6">
        <v>58</v>
      </c>
      <c r="I18" s="6">
        <v>73</v>
      </c>
      <c r="J18" s="6">
        <v>62</v>
      </c>
      <c r="K18" s="6">
        <v>45</v>
      </c>
      <c r="L18" s="6">
        <v>5</v>
      </c>
      <c r="M18" s="6">
        <v>55</v>
      </c>
    </row>
    <row r="19" spans="1:13">
      <c r="A19" s="3" t="s">
        <v>30</v>
      </c>
      <c r="B19" s="5">
        <v>29</v>
      </c>
      <c r="C19" s="5">
        <v>47</v>
      </c>
      <c r="D19" s="5">
        <v>15</v>
      </c>
      <c r="E19" s="5">
        <v>78</v>
      </c>
      <c r="F19" s="5">
        <v>8</v>
      </c>
      <c r="G19" s="5">
        <v>99</v>
      </c>
      <c r="H19" s="5">
        <v>33</v>
      </c>
      <c r="I19" s="5">
        <v>93</v>
      </c>
      <c r="J19" s="5">
        <v>59</v>
      </c>
      <c r="K19" s="5">
        <v>14</v>
      </c>
      <c r="L19" s="5">
        <v>36</v>
      </c>
      <c r="M19" s="5">
        <v>30</v>
      </c>
    </row>
    <row r="20" spans="1:13">
      <c r="A20" s="4" t="s">
        <v>31</v>
      </c>
      <c r="B20" s="6">
        <v>26</v>
      </c>
      <c r="C20" s="6">
        <v>47</v>
      </c>
      <c r="D20" s="6">
        <v>44</v>
      </c>
      <c r="E20" s="6">
        <v>13</v>
      </c>
      <c r="F20" s="6">
        <v>85</v>
      </c>
      <c r="G20" s="6">
        <v>85</v>
      </c>
      <c r="H20" s="6">
        <v>17</v>
      </c>
      <c r="I20" s="6">
        <v>8</v>
      </c>
      <c r="J20" s="6">
        <v>66</v>
      </c>
      <c r="K20" s="6">
        <v>60</v>
      </c>
      <c r="L20" s="6">
        <v>8</v>
      </c>
      <c r="M20" s="6">
        <v>80</v>
      </c>
    </row>
    <row r="21" spans="1:13">
      <c r="A21" s="3" t="s">
        <v>32</v>
      </c>
      <c r="B21" s="5">
        <v>85</v>
      </c>
      <c r="C21" s="5">
        <v>47</v>
      </c>
      <c r="D21" s="5">
        <v>37</v>
      </c>
      <c r="E21" s="5">
        <v>36</v>
      </c>
      <c r="F21" s="5">
        <v>18</v>
      </c>
      <c r="G21" s="5">
        <v>65</v>
      </c>
      <c r="H21" s="5">
        <v>35</v>
      </c>
      <c r="I21" s="5">
        <v>48</v>
      </c>
      <c r="J21" s="5">
        <v>11</v>
      </c>
      <c r="K21" s="5">
        <v>47</v>
      </c>
      <c r="L21" s="5">
        <v>71</v>
      </c>
      <c r="M21" s="5">
        <v>35</v>
      </c>
    </row>
    <row r="22" spans="1:13">
      <c r="A22" s="4" t="s">
        <v>33</v>
      </c>
      <c r="B22" s="6">
        <v>14</v>
      </c>
      <c r="C22" s="6">
        <v>81</v>
      </c>
      <c r="D22" s="6">
        <v>84</v>
      </c>
      <c r="E22" s="6">
        <v>61</v>
      </c>
      <c r="F22" s="6">
        <v>17</v>
      </c>
      <c r="G22" s="6">
        <v>85</v>
      </c>
      <c r="H22" s="6">
        <v>62</v>
      </c>
      <c r="I22" s="6">
        <v>79</v>
      </c>
      <c r="J22" s="6">
        <v>20</v>
      </c>
      <c r="K22" s="6">
        <v>15</v>
      </c>
      <c r="L22" s="6">
        <v>12</v>
      </c>
      <c r="M22" s="6">
        <v>9</v>
      </c>
    </row>
    <row r="23" spans="1:13">
      <c r="A23" s="3" t="s">
        <v>34</v>
      </c>
      <c r="B23" s="5">
        <v>53</v>
      </c>
      <c r="C23" s="5">
        <v>45</v>
      </c>
      <c r="D23" s="5">
        <v>93</v>
      </c>
      <c r="E23" s="5">
        <v>13</v>
      </c>
      <c r="F23" s="5">
        <v>21</v>
      </c>
      <c r="G23" s="5">
        <v>12</v>
      </c>
      <c r="H23" s="5">
        <v>61</v>
      </c>
      <c r="I23" s="5">
        <v>12</v>
      </c>
      <c r="J23" s="5">
        <v>43</v>
      </c>
      <c r="K23" s="5">
        <v>83</v>
      </c>
      <c r="L23" s="5">
        <v>85</v>
      </c>
      <c r="M23" s="5">
        <v>60</v>
      </c>
    </row>
    <row r="24" spans="1:13">
      <c r="A24" s="4" t="s">
        <v>35</v>
      </c>
      <c r="B24" s="6">
        <v>13</v>
      </c>
      <c r="C24" s="6">
        <v>18</v>
      </c>
      <c r="D24" s="6">
        <v>91</v>
      </c>
      <c r="E24" s="6">
        <v>12</v>
      </c>
      <c r="F24" s="6">
        <v>76</v>
      </c>
      <c r="G24" s="6">
        <v>11</v>
      </c>
      <c r="H24" s="6">
        <v>42</v>
      </c>
      <c r="I24" s="6">
        <v>53</v>
      </c>
      <c r="J24" s="6">
        <v>56</v>
      </c>
      <c r="K24" s="6">
        <v>17</v>
      </c>
      <c r="L24" s="6">
        <v>84</v>
      </c>
      <c r="M24" s="6">
        <v>57</v>
      </c>
    </row>
    <row r="25" spans="1:13">
      <c r="A25" s="3" t="s">
        <v>36</v>
      </c>
      <c r="B25" s="5">
        <v>34</v>
      </c>
      <c r="C25" s="5">
        <v>81</v>
      </c>
      <c r="D25" s="5">
        <v>89</v>
      </c>
      <c r="E25" s="5">
        <v>84</v>
      </c>
      <c r="F25" s="5">
        <v>6</v>
      </c>
      <c r="G25" s="5">
        <v>63</v>
      </c>
      <c r="H25" s="5">
        <v>54</v>
      </c>
      <c r="I25" s="5">
        <v>64</v>
      </c>
      <c r="J25" s="5">
        <v>59</v>
      </c>
      <c r="K25" s="5">
        <v>84</v>
      </c>
      <c r="L25" s="5">
        <v>84</v>
      </c>
      <c r="M25" s="5">
        <v>17</v>
      </c>
    </row>
    <row r="26" spans="1:13">
      <c r="A26" s="4" t="s">
        <v>37</v>
      </c>
      <c r="B26" s="6">
        <v>48</v>
      </c>
      <c r="C26" s="6">
        <v>88</v>
      </c>
      <c r="D26" s="6">
        <v>91</v>
      </c>
      <c r="E26" s="6">
        <v>8</v>
      </c>
      <c r="F26" s="6">
        <v>63</v>
      </c>
      <c r="G26" s="6">
        <v>71</v>
      </c>
      <c r="H26" s="6">
        <v>47</v>
      </c>
      <c r="I26" s="6">
        <v>80</v>
      </c>
      <c r="J26" s="6">
        <v>29</v>
      </c>
      <c r="K26" s="6">
        <v>18</v>
      </c>
      <c r="L26" s="6">
        <v>18</v>
      </c>
      <c r="M26" s="6">
        <v>6</v>
      </c>
    </row>
    <row r="27" spans="1:13">
      <c r="A27" s="3" t="s">
        <v>38</v>
      </c>
      <c r="B27" s="5">
        <v>81</v>
      </c>
      <c r="C27" s="5">
        <v>96</v>
      </c>
      <c r="D27" s="5">
        <v>13</v>
      </c>
      <c r="E27" s="5">
        <v>80</v>
      </c>
      <c r="F27" s="5">
        <v>29</v>
      </c>
      <c r="G27" s="5">
        <v>78</v>
      </c>
      <c r="H27" s="5">
        <v>21</v>
      </c>
      <c r="I27" s="5">
        <v>86</v>
      </c>
      <c r="J27" s="5">
        <v>70</v>
      </c>
      <c r="K27" s="5">
        <v>37</v>
      </c>
      <c r="L27" s="5">
        <v>50</v>
      </c>
      <c r="M27" s="5">
        <v>58</v>
      </c>
    </row>
    <row r="28" spans="1:13">
      <c r="A28" s="4" t="s">
        <v>39</v>
      </c>
      <c r="B28" s="6">
        <v>66</v>
      </c>
      <c r="C28" s="6">
        <v>97</v>
      </c>
      <c r="D28" s="6">
        <v>84</v>
      </c>
      <c r="E28" s="6">
        <v>61</v>
      </c>
      <c r="F28" s="6">
        <v>28</v>
      </c>
      <c r="G28" s="6">
        <v>36</v>
      </c>
      <c r="H28" s="6">
        <v>22</v>
      </c>
      <c r="I28" s="6">
        <v>10</v>
      </c>
      <c r="J28" s="6">
        <v>12</v>
      </c>
      <c r="K28" s="6">
        <v>21</v>
      </c>
      <c r="L28" s="6">
        <v>44</v>
      </c>
      <c r="M28" s="6">
        <v>79</v>
      </c>
    </row>
    <row r="29" spans="1:13">
      <c r="A29" s="3" t="s">
        <v>40</v>
      </c>
      <c r="B29" s="5">
        <v>60</v>
      </c>
      <c r="C29" s="5">
        <v>70</v>
      </c>
      <c r="D29" s="5">
        <v>88</v>
      </c>
      <c r="E29" s="5">
        <v>50</v>
      </c>
      <c r="F29" s="5">
        <v>44</v>
      </c>
      <c r="G29" s="5">
        <v>79</v>
      </c>
      <c r="H29" s="5">
        <v>74</v>
      </c>
      <c r="I29" s="5">
        <v>23</v>
      </c>
      <c r="J29" s="5">
        <v>23</v>
      </c>
      <c r="K29" s="5">
        <v>65</v>
      </c>
      <c r="L29" s="5">
        <v>44</v>
      </c>
      <c r="M29" s="5">
        <v>82</v>
      </c>
    </row>
    <row r="30" spans="1:13">
      <c r="A30" s="4" t="s">
        <v>41</v>
      </c>
      <c r="B30" s="6">
        <v>48</v>
      </c>
      <c r="C30" s="6">
        <v>42</v>
      </c>
      <c r="D30" s="6">
        <v>52</v>
      </c>
      <c r="E30" s="6">
        <v>6</v>
      </c>
      <c r="F30" s="6">
        <v>71</v>
      </c>
      <c r="G30" s="6">
        <v>80</v>
      </c>
      <c r="H30" s="6">
        <v>89</v>
      </c>
      <c r="I30" s="6">
        <v>91</v>
      </c>
      <c r="J30" s="6">
        <v>23</v>
      </c>
      <c r="K30" s="6">
        <v>12</v>
      </c>
      <c r="L30" s="6">
        <v>35</v>
      </c>
      <c r="M30" s="6">
        <v>69</v>
      </c>
    </row>
    <row r="31" spans="1:13">
      <c r="A31" s="3" t="s">
        <v>42</v>
      </c>
      <c r="B31" s="5">
        <v>76</v>
      </c>
      <c r="C31" s="5">
        <v>11</v>
      </c>
      <c r="D31" s="5">
        <v>59</v>
      </c>
      <c r="E31" s="5">
        <v>49</v>
      </c>
      <c r="F31" s="5">
        <v>30</v>
      </c>
      <c r="G31" s="5">
        <v>30</v>
      </c>
      <c r="H31" s="5">
        <v>86</v>
      </c>
      <c r="I31" s="5">
        <v>30</v>
      </c>
      <c r="J31" s="5">
        <v>13</v>
      </c>
      <c r="K31" s="5">
        <v>48</v>
      </c>
      <c r="L31" s="5">
        <v>29</v>
      </c>
      <c r="M31" s="5">
        <v>90</v>
      </c>
    </row>
    <row r="32" spans="1:13">
      <c r="A32" s="7" t="s">
        <v>43</v>
      </c>
      <c r="B32" s="8">
        <v>65</v>
      </c>
      <c r="C32" s="8">
        <v>93</v>
      </c>
      <c r="D32" s="8">
        <v>93</v>
      </c>
      <c r="E32" s="8">
        <v>64</v>
      </c>
      <c r="F32" s="8">
        <v>81</v>
      </c>
      <c r="G32" s="8">
        <v>93</v>
      </c>
      <c r="H32" s="8">
        <v>47</v>
      </c>
      <c r="I32" s="8">
        <v>79</v>
      </c>
      <c r="J32" s="8">
        <v>77</v>
      </c>
      <c r="K32" s="8">
        <v>47</v>
      </c>
      <c r="L32" s="8">
        <v>83</v>
      </c>
      <c r="M32" s="8">
        <v>43</v>
      </c>
    </row>
    <row r="33" spans="1:13">
      <c r="A33" s="7" t="s">
        <v>44</v>
      </c>
      <c r="B33" s="8">
        <v>58</v>
      </c>
      <c r="C33" s="8">
        <v>47</v>
      </c>
      <c r="D33" s="8">
        <v>25</v>
      </c>
      <c r="E33" s="8">
        <v>18</v>
      </c>
      <c r="F33" s="8">
        <v>63</v>
      </c>
      <c r="G33" s="8">
        <v>10</v>
      </c>
      <c r="H33" s="8">
        <v>68</v>
      </c>
      <c r="I33" s="8">
        <v>33</v>
      </c>
      <c r="J33" s="8">
        <v>5</v>
      </c>
      <c r="K33" s="8">
        <v>86</v>
      </c>
      <c r="L33" s="8">
        <v>33</v>
      </c>
      <c r="M33" s="8">
        <v>93</v>
      </c>
    </row>
    <row r="34" spans="1:13">
      <c r="A34" s="7" t="s">
        <v>45</v>
      </c>
      <c r="B34" s="8">
        <v>34</v>
      </c>
      <c r="C34" s="8">
        <v>64</v>
      </c>
      <c r="D34" s="8">
        <v>84</v>
      </c>
      <c r="E34" s="8">
        <v>32</v>
      </c>
      <c r="F34" s="8">
        <v>35</v>
      </c>
      <c r="G34" s="8">
        <v>66</v>
      </c>
      <c r="H34" s="8">
        <v>99</v>
      </c>
      <c r="I34" s="8">
        <v>47</v>
      </c>
      <c r="J34" s="8">
        <v>99</v>
      </c>
      <c r="K34" s="8">
        <v>53</v>
      </c>
      <c r="L34" s="8">
        <v>31</v>
      </c>
      <c r="M34" s="8">
        <v>56</v>
      </c>
    </row>
    <row r="35" spans="1:13">
      <c r="A35" s="7" t="s">
        <v>46</v>
      </c>
      <c r="B35" s="7" t="str">
        <f>SUM(B3:B30)</f>
        <v>sum</v>
      </c>
      <c r="C35" s="7" t="str">
        <f>SUM(C3:C30)</f>
        <v>sum</v>
      </c>
      <c r="D35" s="7" t="str">
        <f>SUM(D3:D30)</f>
        <v>sum</v>
      </c>
      <c r="E35" s="7" t="str">
        <f>SUM(E3:E30)</f>
        <v>sum</v>
      </c>
      <c r="F35" s="7" t="str">
        <f>SUM(F3:F30)</f>
        <v>sum</v>
      </c>
      <c r="G35" s="7" t="str">
        <f>SUM(G3:G30)</f>
        <v>sum</v>
      </c>
      <c r="H35" s="7" t="str">
        <f>SUM(H3:H30)</f>
        <v>sum</v>
      </c>
      <c r="I35" s="7" t="str">
        <f>SUM(I3:I30)</f>
        <v>sum</v>
      </c>
      <c r="J35" s="7" t="str">
        <f>SUM(J3:J30)</f>
        <v>sum</v>
      </c>
      <c r="K35" s="7" t="str">
        <f>SUM(K3:K30)</f>
        <v>sum</v>
      </c>
      <c r="L35" s="7" t="str">
        <f>SUM(L3:L30)</f>
        <v>sum</v>
      </c>
      <c r="M35" s="7" t="str">
        <f>SUM(M3:M30)</f>
        <v>sum</v>
      </c>
    </row>
  </sheetData>
  <pageMargins left="0.7" right="0.7" top="0.75" bottom="0.75" header="0.25" footer="0.25"/>
  <pageSetup orientation="landscape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Production</vt:lpstr>
      <vt:lpstr>Delivery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2026-05-26T12:45:30Z</dcterms:created>
  <dcterms:modified xsi:type="dcterms:W3CDTF">2026-05-26T12:45:30Z</dcterms:modified>
</cp:coreProperties>
</file>