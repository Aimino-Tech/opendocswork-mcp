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" sheetId="1" r:id="rId1"/>
    <sheet name="Finance" sheetId="2" r:id="rId2"/>
    <sheet name="Quality" sheetId="3" r:id="rId3"/>
  </sheets>
  <calcPr calcId="124519" fullCalcOnLoad="1"/>
</workbook>
</file>

<file path=xl/sharedStrings.xml><?xml version="1.0" encoding="utf-8"?>
<sst xmlns="http://schemas.openxmlformats.org/spreadsheetml/2006/main" count="174" uniqueCount="54">
  <si>
    <t>Meyer Automotive Group - KPI Dashboard - Production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</si>
  <si>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</si>
  <si>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</si>
  <si>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</si>
  <si>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</si>
  <si>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</si>
  <si>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</si>
  <si>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</si>
  <si>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</si>
  <si>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</si>
  <si>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</si>
  <si>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</si>
  <si>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</si>
  <si>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</si>
  <si>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Units</t>
  </si>
  <si>
    <t>Utilization</t>
  </si>
  <si>
    <t>Rework</t>
  </si>
  <si>
    <t xml:space="preserve">  Item 1</t>
  </si>
  <si>
    <t xml:space="preserve">  Item 2</t>
  </si>
  <si>
    <t xml:space="preserve">  Item 3</t>
  </si>
  <si>
    <t xml:space="preserve">  Item 4</t>
  </si>
  <si>
    <t xml:space="preserve">  Item 5</t>
  </si>
  <si>
    <t xml:space="preserve">  Item 6</t>
  </si>
  <si>
    <t xml:space="preserve">  Item 7</t>
  </si>
  <si>
    <t xml:space="preserve">  Item 8</t>
  </si>
  <si>
    <t xml:space="preserve">  Item 9</t>
  </si>
  <si>
    <t xml:space="preserve">  Item 10</t>
  </si>
  <si>
    <t xml:space="preserve">  Item 11</t>
  </si>
  <si>
    <t xml:space="preserve">  Item 12</t>
  </si>
  <si>
    <t xml:space="preserve">  Item 13</t>
  </si>
  <si>
    <t xml:space="preserve">  Item 14</t>
  </si>
  <si>
    <t xml:space="preserve">  Item 15</t>
  </si>
  <si>
    <t xml:space="preserve">  Item 16</t>
  </si>
  <si>
    <t xml:space="preserve">  Item 17</t>
  </si>
  <si>
    <t xml:space="preserve">  Item 18</t>
  </si>
  <si>
    <t xml:space="preserve">  Item 19</t>
  </si>
  <si>
    <t xml:space="preserve">  Item 20</t>
  </si>
  <si>
    <t xml:space="preserve">  Item 21</t>
  </si>
  <si>
    <t xml:space="preserve">  Item 22</t>
  </si>
  <si>
    <t xml:space="preserve">  Item 23</t>
  </si>
  <si>
    <t xml:space="preserve">  Item 24</t>
  </si>
  <si>
    <t xml:space="preserve">  Item 25</t>
  </si>
  <si>
    <t xml:space="preserve">  Item 26</t>
  </si>
  <si>
    <t xml:space="preserve">  Item 27</t>
  </si>
  <si>
    <t xml:space="preserve">  Item 28</t>
  </si>
  <si>
    <t>TOTAL</t>
  </si>
  <si>
    <t>Meyer Automotive Group - KPI Dashboard - Finance</t>
  </si>
  <si>
    <t>Revenue</t>
  </si>
  <si>
    <t>EBIT</t>
  </si>
  <si>
    <t>Cash Flow</t>
  </si>
  <si>
    <t>Meyer Automotive Group - KPI Dashboard - Quality</t>
  </si>
  <si>
    <t>Complaints</t>
  </si>
  <si>
    <t>CSI</t>
  </si>
  <si>
    <t>Delivery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</si>
</sst>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6"/>
      <color rgb="FF1B5E20"/>
      <name val="Calibri"/>
      <family val="2"/>
      <scheme val="minor"/>
    </font>
    <font>
      <b/>
      <sz val="11"/>
      <color rgb="FF1B5E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E6C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164" fontId="0" fillId="0" borderId="1" xfId="0" applyNumberFormat="1" applyBorder="1"/>
    <xf numFmtId="164" fontId="0" fillId="2" borderId="1" xfId="0" applyNumberFormat="1" applyFill="1" applyBorder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47.7109375" customWidth="1"/>
    <col min="2" max="13" width="19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14</v>
      </c>
      <c r="B3" s="3">
        <f>187</f>
        <v>187</v>
      </c>
      <c r="C3" s="3">
        <f>379</f>
        <v>379</v>
      </c>
      <c r="D3" s="3">
        <f>245</f>
        <v>245</v>
      </c>
      <c r="E3" s="3">
        <f>456</f>
        <v>456</v>
      </c>
      <c r="F3" s="3">
        <f>429</f>
        <v>429</v>
      </c>
      <c r="G3" s="3">
        <f>321</f>
        <v>321</v>
      </c>
      <c r="H3" s="3">
        <f>58</f>
        <v>58</v>
      </c>
      <c r="I3" s="3">
        <f>272</f>
        <v>272</v>
      </c>
      <c r="J3" s="3">
        <f>85</f>
        <v>85</v>
      </c>
      <c r="K3" s="3">
        <f>201</f>
        <v>201</v>
      </c>
      <c r="L3" s="3">
        <f>169</f>
        <v>169</v>
      </c>
      <c r="M3" s="3">
        <f>205</f>
        <v>205</v>
      </c>
    </row>
    <row r="4" spans="1:13">
      <c r="A4" s="4" t="s">
        <v>15</v>
      </c>
      <c r="B4" s="4">
        <f>99</f>
        <v>99</v>
      </c>
      <c r="C4" s="4">
        <f>435</f>
        <v>435</v>
      </c>
      <c r="D4" s="4">
        <f>246</f>
        <v>246</v>
      </c>
      <c r="E4" s="4">
        <f>482</f>
        <v>482</v>
      </c>
      <c r="F4" s="4">
        <f>303</f>
        <v>303</v>
      </c>
      <c r="G4" s="4">
        <f>462</f>
        <v>462</v>
      </c>
      <c r="H4" s="4">
        <f>40</f>
        <v>40</v>
      </c>
      <c r="I4" s="4">
        <f>376</f>
        <v>376</v>
      </c>
      <c r="J4" s="4">
        <f>485</f>
        <v>485</v>
      </c>
      <c r="K4" s="4">
        <f>317</f>
        <v>317</v>
      </c>
      <c r="L4" s="4">
        <f>276</f>
        <v>276</v>
      </c>
      <c r="M4" s="4">
        <f>251</f>
        <v>251</v>
      </c>
    </row>
    <row r="5" spans="1:13">
      <c r="A5" s="3" t="s">
        <v>16</v>
      </c>
      <c r="B5" s="3">
        <f>67</f>
        <v>67</v>
      </c>
      <c r="C5" s="3">
        <f>136</f>
        <v>136</v>
      </c>
      <c r="D5" s="3">
        <f>305</f>
        <v>305</v>
      </c>
      <c r="E5" s="3">
        <f>225</f>
        <v>225</v>
      </c>
      <c r="F5" s="3">
        <f>358</f>
        <v>358</v>
      </c>
      <c r="G5" s="3">
        <f>427</f>
        <v>427</v>
      </c>
      <c r="H5" s="3">
        <f>295</f>
        <v>295</v>
      </c>
      <c r="I5" s="3">
        <f>360</f>
        <v>360</v>
      </c>
      <c r="J5" s="3">
        <f>266</f>
        <v>266</v>
      </c>
      <c r="K5" s="3">
        <f>429</f>
        <v>429</v>
      </c>
      <c r="L5" s="3">
        <f>66</f>
        <v>66</v>
      </c>
      <c r="M5" s="3">
        <f>144</f>
        <v>144</v>
      </c>
    </row>
    <row r="6" spans="1:13">
      <c r="A6" s="4" t="s">
        <v>17</v>
      </c>
      <c r="B6" s="5">
        <v>39</v>
      </c>
      <c r="C6" s="5">
        <v>75</v>
      </c>
      <c r="D6" s="5">
        <v>21</v>
      </c>
      <c r="E6" s="5">
        <v>41</v>
      </c>
      <c r="F6" s="5">
        <v>61</v>
      </c>
      <c r="G6" s="5">
        <v>94</v>
      </c>
      <c r="H6" s="5">
        <v>67</v>
      </c>
      <c r="I6" s="5">
        <v>20</v>
      </c>
      <c r="J6" s="5">
        <v>8</v>
      </c>
      <c r="K6" s="5">
        <v>85</v>
      </c>
      <c r="L6" s="5">
        <v>82</v>
      </c>
      <c r="M6" s="5">
        <v>35</v>
      </c>
    </row>
    <row r="7" spans="1:13">
      <c r="A7" s="3" t="s">
        <v>18</v>
      </c>
      <c r="B7" s="6">
        <v>95</v>
      </c>
      <c r="C7" s="6">
        <v>25</v>
      </c>
      <c r="D7" s="6">
        <v>44</v>
      </c>
      <c r="E7" s="6">
        <v>75</v>
      </c>
      <c r="F7" s="6">
        <v>6</v>
      </c>
      <c r="G7" s="6">
        <v>75</v>
      </c>
      <c r="H7" s="6">
        <v>57</v>
      </c>
      <c r="I7" s="6">
        <v>16</v>
      </c>
      <c r="J7" s="6">
        <v>33</v>
      </c>
      <c r="K7" s="6">
        <v>19</v>
      </c>
      <c r="L7" s="6">
        <v>64</v>
      </c>
      <c r="M7" s="6">
        <v>20</v>
      </c>
    </row>
    <row r="8" spans="1:13">
      <c r="A8" s="4" t="s">
        <v>19</v>
      </c>
      <c r="B8" s="5">
        <v>87</v>
      </c>
      <c r="C8" s="5">
        <v>24</v>
      </c>
      <c r="D8" s="5">
        <v>68</v>
      </c>
      <c r="E8" s="5">
        <v>96</v>
      </c>
      <c r="F8" s="5">
        <v>42</v>
      </c>
      <c r="G8" s="5">
        <v>70</v>
      </c>
      <c r="H8" s="5">
        <v>95</v>
      </c>
      <c r="I8" s="5">
        <v>39</v>
      </c>
      <c r="J8" s="5">
        <v>58</v>
      </c>
      <c r="K8" s="5">
        <v>66</v>
      </c>
      <c r="L8" s="5">
        <v>65</v>
      </c>
      <c r="M8" s="5">
        <v>36</v>
      </c>
    </row>
    <row r="9" spans="1:13">
      <c r="A9" s="3" t="s">
        <v>20</v>
      </c>
      <c r="B9" s="6">
        <v>63</v>
      </c>
      <c r="C9" s="6">
        <v>75</v>
      </c>
      <c r="D9" s="6">
        <v>23</v>
      </c>
      <c r="E9" s="6">
        <v>54</v>
      </c>
      <c r="F9" s="6">
        <v>29</v>
      </c>
      <c r="G9" s="6">
        <v>81</v>
      </c>
      <c r="H9" s="6">
        <v>70</v>
      </c>
      <c r="I9" s="6">
        <v>100</v>
      </c>
      <c r="J9" s="6">
        <v>22</v>
      </c>
      <c r="K9" s="6">
        <v>13</v>
      </c>
      <c r="L9" s="6">
        <v>40</v>
      </c>
      <c r="M9" s="6">
        <v>58</v>
      </c>
    </row>
    <row r="10" spans="1:13">
      <c r="A10" s="4" t="s">
        <v>21</v>
      </c>
      <c r="B10" s="5">
        <v>48</v>
      </c>
      <c r="C10" s="5">
        <v>69</v>
      </c>
      <c r="D10" s="5">
        <v>39</v>
      </c>
      <c r="E10" s="5">
        <v>5</v>
      </c>
      <c r="F10" s="5">
        <v>41</v>
      </c>
      <c r="G10" s="5">
        <v>97</v>
      </c>
      <c r="H10" s="5">
        <v>43</v>
      </c>
      <c r="I10" s="5">
        <v>80</v>
      </c>
      <c r="J10" s="5">
        <v>79</v>
      </c>
      <c r="K10" s="5">
        <v>89</v>
      </c>
      <c r="L10" s="5">
        <v>67</v>
      </c>
      <c r="M10" s="5">
        <v>24</v>
      </c>
    </row>
    <row r="11" spans="1:13">
      <c r="A11" s="3" t="s">
        <v>22</v>
      </c>
      <c r="B11" s="6">
        <v>62</v>
      </c>
      <c r="C11" s="6">
        <v>73</v>
      </c>
      <c r="D11" s="6">
        <v>66</v>
      </c>
      <c r="E11" s="6">
        <v>49</v>
      </c>
      <c r="F11" s="6">
        <v>47</v>
      </c>
      <c r="G11" s="6">
        <v>75</v>
      </c>
      <c r="H11" s="6">
        <v>74</v>
      </c>
      <c r="I11" s="6">
        <v>53</v>
      </c>
      <c r="J11" s="6">
        <v>63</v>
      </c>
      <c r="K11" s="6">
        <v>46</v>
      </c>
      <c r="L11" s="6">
        <v>29</v>
      </c>
      <c r="M11" s="6">
        <v>94</v>
      </c>
    </row>
    <row r="12" spans="1:13">
      <c r="A12" s="4" t="s">
        <v>23</v>
      </c>
      <c r="B12" s="5">
        <v>35</v>
      </c>
      <c r="C12" s="5">
        <v>78</v>
      </c>
      <c r="D12" s="5">
        <v>54</v>
      </c>
      <c r="E12" s="5">
        <v>34</v>
      </c>
      <c r="F12" s="5">
        <v>57</v>
      </c>
      <c r="G12" s="5">
        <v>10</v>
      </c>
      <c r="H12" s="5">
        <v>45</v>
      </c>
      <c r="I12" s="5">
        <v>100</v>
      </c>
      <c r="J12" s="5">
        <v>65</v>
      </c>
      <c r="K12" s="5">
        <v>95</v>
      </c>
      <c r="L12" s="5">
        <v>53</v>
      </c>
      <c r="M12" s="5">
        <v>54</v>
      </c>
    </row>
    <row r="13" spans="1:13">
      <c r="A13" s="3" t="s">
        <v>24</v>
      </c>
      <c r="B13" s="6">
        <v>89</v>
      </c>
      <c r="C13" s="6">
        <v>88</v>
      </c>
      <c r="D13" s="6">
        <v>24</v>
      </c>
      <c r="E13" s="6">
        <v>68</v>
      </c>
      <c r="F13" s="6">
        <v>9</v>
      </c>
      <c r="G13" s="6">
        <v>21</v>
      </c>
      <c r="H13" s="6">
        <v>69</v>
      </c>
      <c r="I13" s="6">
        <v>80</v>
      </c>
      <c r="J13" s="6">
        <v>47</v>
      </c>
      <c r="K13" s="6">
        <v>17</v>
      </c>
      <c r="L13" s="6">
        <v>61</v>
      </c>
      <c r="M13" s="6">
        <v>17</v>
      </c>
    </row>
    <row r="14" spans="1:13">
      <c r="A14" s="4" t="s">
        <v>25</v>
      </c>
      <c r="B14" s="5">
        <v>72</v>
      </c>
      <c r="C14" s="5">
        <v>63</v>
      </c>
      <c r="D14" s="5">
        <v>6</v>
      </c>
      <c r="E14" s="5">
        <v>97</v>
      </c>
      <c r="F14" s="5">
        <v>23</v>
      </c>
      <c r="G14" s="5">
        <v>57</v>
      </c>
      <c r="H14" s="5">
        <v>88</v>
      </c>
      <c r="I14" s="5">
        <v>24</v>
      </c>
      <c r="J14" s="5">
        <v>14</v>
      </c>
      <c r="K14" s="5">
        <v>65</v>
      </c>
      <c r="L14" s="5">
        <v>38</v>
      </c>
      <c r="M14" s="5">
        <v>48</v>
      </c>
    </row>
    <row r="15" spans="1:13">
      <c r="A15" s="3" t="s">
        <v>26</v>
      </c>
      <c r="B15" s="6">
        <v>84</v>
      </c>
      <c r="C15" s="6">
        <v>93</v>
      </c>
      <c r="D15" s="6">
        <v>55</v>
      </c>
      <c r="E15" s="6">
        <v>88</v>
      </c>
      <c r="F15" s="6">
        <v>15</v>
      </c>
      <c r="G15" s="6">
        <v>47</v>
      </c>
      <c r="H15" s="6">
        <v>91</v>
      </c>
      <c r="I15" s="6">
        <v>73</v>
      </c>
      <c r="J15" s="6">
        <v>53</v>
      </c>
      <c r="K15" s="6">
        <v>45</v>
      </c>
      <c r="L15" s="6">
        <v>85</v>
      </c>
      <c r="M15" s="6">
        <v>96</v>
      </c>
    </row>
    <row r="16" spans="1:13">
      <c r="A16" s="4" t="s">
        <v>27</v>
      </c>
      <c r="B16" s="5">
        <v>67</v>
      </c>
      <c r="C16" s="5">
        <v>74</v>
      </c>
      <c r="D16" s="5">
        <v>9</v>
      </c>
      <c r="E16" s="5">
        <v>84</v>
      </c>
      <c r="F16" s="5">
        <v>13</v>
      </c>
      <c r="G16" s="5">
        <v>35</v>
      </c>
      <c r="H16" s="5">
        <v>85</v>
      </c>
      <c r="I16" s="5">
        <v>92</v>
      </c>
      <c r="J16" s="5">
        <v>41</v>
      </c>
      <c r="K16" s="5">
        <v>34</v>
      </c>
      <c r="L16" s="5">
        <v>100</v>
      </c>
      <c r="M16" s="5">
        <v>16</v>
      </c>
    </row>
    <row r="17" spans="1:13">
      <c r="A17" s="3" t="s">
        <v>28</v>
      </c>
      <c r="B17" s="6">
        <v>60</v>
      </c>
      <c r="C17" s="6">
        <v>17</v>
      </c>
      <c r="D17" s="6">
        <v>86</v>
      </c>
      <c r="E17" s="6">
        <v>95</v>
      </c>
      <c r="F17" s="6">
        <v>17</v>
      </c>
      <c r="G17" s="6">
        <v>61</v>
      </c>
      <c r="H17" s="6">
        <v>26</v>
      </c>
      <c r="I17" s="6">
        <v>93</v>
      </c>
      <c r="J17" s="6">
        <v>43</v>
      </c>
      <c r="K17" s="6">
        <v>8</v>
      </c>
      <c r="L17" s="6">
        <v>10</v>
      </c>
      <c r="M17" s="6">
        <v>46</v>
      </c>
    </row>
    <row r="18" spans="1:13">
      <c r="A18" s="4" t="s">
        <v>29</v>
      </c>
      <c r="B18" s="5">
        <v>12</v>
      </c>
      <c r="C18" s="5">
        <v>42</v>
      </c>
      <c r="D18" s="5">
        <v>50</v>
      </c>
      <c r="E18" s="5">
        <v>52</v>
      </c>
      <c r="F18" s="5">
        <v>60</v>
      </c>
      <c r="G18" s="5">
        <v>23</v>
      </c>
      <c r="H18" s="5">
        <v>36</v>
      </c>
      <c r="I18" s="5">
        <v>72</v>
      </c>
      <c r="J18" s="5">
        <v>57</v>
      </c>
      <c r="K18" s="5">
        <v>77</v>
      </c>
      <c r="L18" s="5">
        <v>92</v>
      </c>
      <c r="M18" s="5">
        <v>28</v>
      </c>
    </row>
    <row r="19" spans="1:13">
      <c r="A19" s="3" t="s">
        <v>30</v>
      </c>
      <c r="B19" s="6">
        <v>26</v>
      </c>
      <c r="C19" s="6">
        <v>27</v>
      </c>
      <c r="D19" s="6">
        <v>15</v>
      </c>
      <c r="E19" s="6">
        <v>83</v>
      </c>
      <c r="F19" s="6">
        <v>53</v>
      </c>
      <c r="G19" s="6">
        <v>84</v>
      </c>
      <c r="H19" s="6">
        <v>92</v>
      </c>
      <c r="I19" s="6">
        <v>35</v>
      </c>
      <c r="J19" s="6">
        <v>68</v>
      </c>
      <c r="K19" s="6">
        <v>79</v>
      </c>
      <c r="L19" s="6">
        <v>23</v>
      </c>
      <c r="M19" s="6">
        <v>34</v>
      </c>
    </row>
    <row r="20" spans="1:13">
      <c r="A20" s="4" t="s">
        <v>31</v>
      </c>
      <c r="B20" s="5">
        <v>64</v>
      </c>
      <c r="C20" s="5">
        <v>86</v>
      </c>
      <c r="D20" s="5">
        <v>37</v>
      </c>
      <c r="E20" s="5">
        <v>63</v>
      </c>
      <c r="F20" s="5">
        <v>37</v>
      </c>
      <c r="G20" s="5">
        <v>90</v>
      </c>
      <c r="H20" s="5">
        <v>6</v>
      </c>
      <c r="I20" s="5">
        <v>64</v>
      </c>
      <c r="J20" s="5">
        <v>41</v>
      </c>
      <c r="K20" s="5">
        <v>91</v>
      </c>
      <c r="L20" s="5">
        <v>74</v>
      </c>
      <c r="M20" s="5">
        <v>25</v>
      </c>
    </row>
    <row r="21" spans="1:13">
      <c r="A21" s="3" t="s">
        <v>32</v>
      </c>
      <c r="B21" s="6">
        <v>14</v>
      </c>
      <c r="C21" s="6">
        <v>61</v>
      </c>
      <c r="D21" s="6">
        <v>49</v>
      </c>
      <c r="E21" s="6">
        <v>80</v>
      </c>
      <c r="F21" s="6">
        <v>43</v>
      </c>
      <c r="G21" s="6">
        <v>86</v>
      </c>
      <c r="H21" s="6">
        <v>59</v>
      </c>
      <c r="I21" s="6">
        <v>93</v>
      </c>
      <c r="J21" s="6">
        <v>37</v>
      </c>
      <c r="K21" s="6">
        <v>63</v>
      </c>
      <c r="L21" s="6">
        <v>43</v>
      </c>
      <c r="M21" s="6">
        <v>30</v>
      </c>
    </row>
    <row r="22" spans="1:13">
      <c r="A22" s="4" t="s">
        <v>33</v>
      </c>
      <c r="B22" s="5">
        <v>54</v>
      </c>
      <c r="C22" s="5">
        <v>66</v>
      </c>
      <c r="D22" s="5">
        <v>18</v>
      </c>
      <c r="E22" s="5">
        <v>35</v>
      </c>
      <c r="F22" s="5">
        <v>53</v>
      </c>
      <c r="G22" s="5">
        <v>78</v>
      </c>
      <c r="H22" s="5">
        <v>50</v>
      </c>
      <c r="I22" s="5">
        <v>78</v>
      </c>
      <c r="J22" s="5">
        <v>42</v>
      </c>
      <c r="K22" s="5">
        <v>94</v>
      </c>
      <c r="L22" s="5">
        <v>42</v>
      </c>
      <c r="M22" s="5">
        <v>7</v>
      </c>
    </row>
    <row r="23" spans="1:13">
      <c r="A23" s="3" t="s">
        <v>34</v>
      </c>
      <c r="B23" s="6">
        <v>89</v>
      </c>
      <c r="C23" s="6">
        <v>55</v>
      </c>
      <c r="D23" s="6">
        <v>40</v>
      </c>
      <c r="E23" s="6">
        <v>6</v>
      </c>
      <c r="F23" s="6">
        <v>77</v>
      </c>
      <c r="G23" s="6">
        <v>92</v>
      </c>
      <c r="H23" s="6">
        <v>100</v>
      </c>
      <c r="I23" s="6">
        <v>11</v>
      </c>
      <c r="J23" s="6">
        <v>82</v>
      </c>
      <c r="K23" s="6">
        <v>100</v>
      </c>
      <c r="L23" s="6">
        <v>68</v>
      </c>
      <c r="M23" s="6">
        <v>41</v>
      </c>
    </row>
    <row r="24" spans="1:13">
      <c r="A24" s="4" t="s">
        <v>35</v>
      </c>
      <c r="B24" s="5">
        <v>34</v>
      </c>
      <c r="C24" s="5">
        <v>82</v>
      </c>
      <c r="D24" s="5">
        <v>50</v>
      </c>
      <c r="E24" s="5">
        <v>33</v>
      </c>
      <c r="F24" s="5">
        <v>86</v>
      </c>
      <c r="G24" s="5">
        <v>29</v>
      </c>
      <c r="H24" s="5">
        <v>84</v>
      </c>
      <c r="I24" s="5">
        <v>37</v>
      </c>
      <c r="J24" s="5">
        <v>91</v>
      </c>
      <c r="K24" s="5">
        <v>97</v>
      </c>
      <c r="L24" s="5">
        <v>89</v>
      </c>
      <c r="M24" s="5">
        <v>92</v>
      </c>
    </row>
    <row r="25" spans="1:13">
      <c r="A25" s="3" t="s">
        <v>36</v>
      </c>
      <c r="B25" s="6">
        <v>22</v>
      </c>
      <c r="C25" s="6">
        <v>85</v>
      </c>
      <c r="D25" s="6">
        <v>17</v>
      </c>
      <c r="E25" s="6">
        <v>85</v>
      </c>
      <c r="F25" s="6">
        <v>87</v>
      </c>
      <c r="G25" s="6">
        <v>10</v>
      </c>
      <c r="H25" s="6">
        <v>44</v>
      </c>
      <c r="I25" s="6">
        <v>61</v>
      </c>
      <c r="J25" s="6">
        <v>9</v>
      </c>
      <c r="K25" s="6">
        <v>79</v>
      </c>
      <c r="L25" s="6">
        <v>51</v>
      </c>
      <c r="M25" s="6">
        <v>98</v>
      </c>
    </row>
    <row r="26" spans="1:13">
      <c r="A26" s="4" t="s">
        <v>37</v>
      </c>
      <c r="B26" s="5">
        <v>21</v>
      </c>
      <c r="C26" s="5">
        <v>16</v>
      </c>
      <c r="D26" s="5">
        <v>42</v>
      </c>
      <c r="E26" s="5">
        <v>46</v>
      </c>
      <c r="F26" s="5">
        <v>100</v>
      </c>
      <c r="G26" s="5">
        <v>58</v>
      </c>
      <c r="H26" s="5">
        <v>27</v>
      </c>
      <c r="I26" s="5">
        <v>30</v>
      </c>
      <c r="J26" s="5">
        <v>21</v>
      </c>
      <c r="K26" s="5">
        <v>74</v>
      </c>
      <c r="L26" s="5">
        <v>51</v>
      </c>
      <c r="M26" s="5">
        <v>72</v>
      </c>
    </row>
    <row r="27" spans="1:13">
      <c r="A27" s="3" t="s">
        <v>38</v>
      </c>
      <c r="B27" s="6">
        <v>69</v>
      </c>
      <c r="C27" s="6">
        <v>39</v>
      </c>
      <c r="D27" s="6">
        <v>26</v>
      </c>
      <c r="E27" s="6">
        <v>37</v>
      </c>
      <c r="F27" s="6">
        <v>66</v>
      </c>
      <c r="G27" s="6">
        <v>42</v>
      </c>
      <c r="H27" s="6">
        <v>100</v>
      </c>
      <c r="I27" s="6">
        <v>48</v>
      </c>
      <c r="J27" s="6">
        <v>19</v>
      </c>
      <c r="K27" s="6">
        <v>64</v>
      </c>
      <c r="L27" s="6">
        <v>14</v>
      </c>
      <c r="M27" s="6">
        <v>23</v>
      </c>
    </row>
    <row r="28" spans="1:13">
      <c r="A28" s="4" t="s">
        <v>39</v>
      </c>
      <c r="B28" s="5">
        <v>33</v>
      </c>
      <c r="C28" s="5">
        <v>91</v>
      </c>
      <c r="D28" s="5">
        <v>97</v>
      </c>
      <c r="E28" s="5">
        <v>91</v>
      </c>
      <c r="F28" s="5">
        <v>55</v>
      </c>
      <c r="G28" s="5">
        <v>76</v>
      </c>
      <c r="H28" s="5">
        <v>51</v>
      </c>
      <c r="I28" s="5">
        <v>16</v>
      </c>
      <c r="J28" s="5">
        <v>55</v>
      </c>
      <c r="K28" s="5">
        <v>6</v>
      </c>
      <c r="L28" s="5">
        <v>38</v>
      </c>
      <c r="M28" s="5">
        <v>73</v>
      </c>
    </row>
    <row r="29" spans="1:13">
      <c r="A29" s="3" t="s">
        <v>40</v>
      </c>
      <c r="B29" s="6">
        <v>20</v>
      </c>
      <c r="C29" s="6">
        <v>63</v>
      </c>
      <c r="D29" s="6">
        <v>52</v>
      </c>
      <c r="E29" s="6">
        <v>91</v>
      </c>
      <c r="F29" s="6">
        <v>100</v>
      </c>
      <c r="G29" s="6">
        <v>91</v>
      </c>
      <c r="H29" s="6">
        <v>38</v>
      </c>
      <c r="I29" s="6">
        <v>79</v>
      </c>
      <c r="J29" s="6">
        <v>53</v>
      </c>
      <c r="K29" s="6">
        <v>86</v>
      </c>
      <c r="L29" s="6">
        <v>52</v>
      </c>
      <c r="M29" s="6">
        <v>18</v>
      </c>
    </row>
    <row r="30" spans="1:13">
      <c r="A30" s="4" t="s">
        <v>41</v>
      </c>
      <c r="B30" s="5">
        <v>91</v>
      </c>
      <c r="C30" s="5">
        <v>34</v>
      </c>
      <c r="D30" s="5">
        <v>65</v>
      </c>
      <c r="E30" s="5">
        <v>8</v>
      </c>
      <c r="F30" s="5">
        <v>84</v>
      </c>
      <c r="G30" s="5">
        <v>76</v>
      </c>
      <c r="H30" s="5">
        <v>46</v>
      </c>
      <c r="I30" s="5">
        <v>83</v>
      </c>
      <c r="J30" s="5">
        <v>33</v>
      </c>
      <c r="K30" s="5">
        <v>87</v>
      </c>
      <c r="L30" s="5">
        <v>13</v>
      </c>
      <c r="M30" s="5">
        <v>86</v>
      </c>
    </row>
    <row r="31" spans="1:13">
      <c r="A31" s="3" t="s">
        <v>42</v>
      </c>
      <c r="B31" s="6">
        <v>64</v>
      </c>
      <c r="C31" s="6">
        <v>94</v>
      </c>
      <c r="D31" s="6">
        <v>43</v>
      </c>
      <c r="E31" s="6">
        <v>88</v>
      </c>
      <c r="F31" s="6">
        <v>57</v>
      </c>
      <c r="G31" s="6">
        <v>19</v>
      </c>
      <c r="H31" s="6">
        <v>22</v>
      </c>
      <c r="I31" s="6">
        <v>10</v>
      </c>
      <c r="J31" s="6">
        <v>9</v>
      </c>
      <c r="K31" s="6">
        <v>43</v>
      </c>
      <c r="L31" s="6">
        <v>68</v>
      </c>
      <c r="M31" s="6">
        <v>19</v>
      </c>
    </row>
    <row r="32" spans="1:13">
      <c r="A32" s="7" t="s">
        <v>43</v>
      </c>
      <c r="B32" s="8">
        <v>17</v>
      </c>
      <c r="C32" s="8">
        <v>35</v>
      </c>
      <c r="D32" s="8">
        <v>73</v>
      </c>
      <c r="E32" s="8">
        <v>22</v>
      </c>
      <c r="F32" s="8">
        <v>54</v>
      </c>
      <c r="G32" s="8">
        <v>63</v>
      </c>
      <c r="H32" s="8">
        <v>52</v>
      </c>
      <c r="I32" s="8">
        <v>90</v>
      </c>
      <c r="J32" s="8">
        <v>100</v>
      </c>
      <c r="K32" s="8">
        <v>94</v>
      </c>
      <c r="L32" s="8">
        <v>74</v>
      </c>
      <c r="M32" s="8">
        <v>58</v>
      </c>
    </row>
    <row r="33" spans="1:13">
      <c r="A33" s="7" t="s">
        <v>44</v>
      </c>
      <c r="B33" s="8">
        <v>80</v>
      </c>
      <c r="C33" s="8">
        <v>100</v>
      </c>
      <c r="D33" s="8">
        <v>98</v>
      </c>
      <c r="E33" s="8">
        <v>24</v>
      </c>
      <c r="F33" s="8">
        <v>58</v>
      </c>
      <c r="G33" s="8">
        <v>88</v>
      </c>
      <c r="H33" s="8">
        <v>17</v>
      </c>
      <c r="I33" s="8">
        <v>67</v>
      </c>
      <c r="J33" s="8">
        <v>83</v>
      </c>
      <c r="K33" s="8">
        <v>57</v>
      </c>
      <c r="L33" s="8">
        <v>40</v>
      </c>
      <c r="M33" s="8">
        <v>9</v>
      </c>
    </row>
    <row r="34" spans="1:13">
      <c r="A34" s="7" t="s">
        <v>45</v>
      </c>
      <c r="B34" s="7" t="str">
        <f>SUM(B3:B30)</f>
        <v>sum</v>
      </c>
      <c r="C34" s="7" t="str">
        <f>SUM(C3:C30)</f>
        <v>sum</v>
      </c>
      <c r="D34" s="7" t="str">
        <f>SUM(D3:D30)</f>
        <v>sum</v>
      </c>
      <c r="E34" s="7" t="str">
        <f>SUM(E3:E30)</f>
        <v>sum</v>
      </c>
      <c r="F34" s="7" t="str">
        <f>SUM(F3:F30)</f>
        <v>sum</v>
      </c>
      <c r="G34" s="7" t="str">
        <f>SUM(G3:G30)</f>
        <v>sum</v>
      </c>
      <c r="H34" s="7" t="str">
        <f>SUM(H3:H30)</f>
        <v>sum</v>
      </c>
      <c r="I34" s="7" t="str">
        <f>SUM(I3:I30)</f>
        <v>sum</v>
      </c>
      <c r="J34" s="7" t="str">
        <f>SUM(J3:J30)</f>
        <v>sum</v>
      </c>
      <c r="K34" s="7" t="str">
        <f>SUM(K3:K30)</f>
        <v>sum</v>
      </c>
      <c r="L34" s="7" t="str">
        <f>SUM(L3:L30)</f>
        <v>sum</v>
      </c>
      <c r="M34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7.7109375" customWidth="1"/>
    <col min="2" max="13" width="19.7109375" customWidth="1"/>
  </cols>
  <sheetData>
    <row r="1" spans="1:13">
      <c r="A1" s="1" t="s">
        <v>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47</v>
      </c>
      <c r="B3" s="3">
        <f>393</f>
        <v>393</v>
      </c>
      <c r="C3" s="3">
        <f>229</f>
        <v>229</v>
      </c>
      <c r="D3" s="3">
        <f>151</f>
        <v>151</v>
      </c>
      <c r="E3" s="3">
        <f>267</f>
        <v>267</v>
      </c>
      <c r="F3" s="3">
        <f>267</f>
        <v>267</v>
      </c>
      <c r="G3" s="3">
        <f>160</f>
        <v>160</v>
      </c>
      <c r="H3" s="3">
        <f>477</f>
        <v>477</v>
      </c>
      <c r="I3" s="3">
        <f>225</f>
        <v>225</v>
      </c>
      <c r="J3" s="3">
        <f>90</f>
        <v>90</v>
      </c>
      <c r="K3" s="3">
        <f>391</f>
        <v>391</v>
      </c>
      <c r="L3" s="3">
        <f>228</f>
        <v>228</v>
      </c>
      <c r="M3" s="3">
        <f>318</f>
        <v>318</v>
      </c>
    </row>
    <row r="4" spans="1:13">
      <c r="A4" s="4" t="s">
        <v>48</v>
      </c>
      <c r="B4" s="4">
        <f>370</f>
        <v>370</v>
      </c>
      <c r="C4" s="4">
        <f>223</f>
        <v>223</v>
      </c>
      <c r="D4" s="4">
        <f>71</f>
        <v>71</v>
      </c>
      <c r="E4" s="4">
        <f>243</f>
        <v>243</v>
      </c>
      <c r="F4" s="4">
        <f>181</f>
        <v>181</v>
      </c>
      <c r="G4" s="4">
        <f>137</f>
        <v>137</v>
      </c>
      <c r="H4" s="4">
        <f>102</f>
        <v>102</v>
      </c>
      <c r="I4" s="4">
        <f>474</f>
        <v>474</v>
      </c>
      <c r="J4" s="4">
        <f>461</f>
        <v>461</v>
      </c>
      <c r="K4" s="4">
        <f>272</f>
        <v>272</v>
      </c>
      <c r="L4" s="4">
        <f>86</f>
        <v>86</v>
      </c>
      <c r="M4" s="4">
        <f>379</f>
        <v>379</v>
      </c>
    </row>
    <row r="5" spans="1:13">
      <c r="A5" s="3" t="s">
        <v>49</v>
      </c>
      <c r="B5" s="3">
        <f>148</f>
        <v>148</v>
      </c>
      <c r="C5" s="3">
        <f>368</f>
        <v>368</v>
      </c>
      <c r="D5" s="3">
        <f>367</f>
        <v>367</v>
      </c>
      <c r="E5" s="3">
        <f>345</f>
        <v>345</v>
      </c>
      <c r="F5" s="3">
        <f>50</f>
        <v>50</v>
      </c>
      <c r="G5" s="3">
        <f>65</f>
        <v>65</v>
      </c>
      <c r="H5" s="3">
        <f>442</f>
        <v>442</v>
      </c>
      <c r="I5" s="3">
        <f>210</f>
        <v>210</v>
      </c>
      <c r="J5" s="3">
        <f>164</f>
        <v>164</v>
      </c>
      <c r="K5" s="3">
        <f>104</f>
        <v>104</v>
      </c>
      <c r="L5" s="3">
        <f>442</f>
        <v>442</v>
      </c>
      <c r="M5" s="3">
        <f>329</f>
        <v>329</v>
      </c>
    </row>
    <row r="6" spans="1:13">
      <c r="A6" s="4" t="s">
        <v>17</v>
      </c>
      <c r="B6" s="5">
        <v>31</v>
      </c>
      <c r="C6" s="5">
        <v>13</v>
      </c>
      <c r="D6" s="5">
        <v>75</v>
      </c>
      <c r="E6" s="5">
        <v>31</v>
      </c>
      <c r="F6" s="5">
        <v>80</v>
      </c>
      <c r="G6" s="5">
        <v>32</v>
      </c>
      <c r="H6" s="5">
        <v>34</v>
      </c>
      <c r="I6" s="5">
        <v>47</v>
      </c>
      <c r="J6" s="5">
        <v>23</v>
      </c>
      <c r="K6" s="5">
        <v>81</v>
      </c>
      <c r="L6" s="5">
        <v>5</v>
      </c>
      <c r="M6" s="5">
        <v>40</v>
      </c>
    </row>
    <row r="7" spans="1:13">
      <c r="A7" s="3" t="s">
        <v>18</v>
      </c>
      <c r="B7" s="6">
        <v>23</v>
      </c>
      <c r="C7" s="6">
        <v>21</v>
      </c>
      <c r="D7" s="6">
        <v>74</v>
      </c>
      <c r="E7" s="6">
        <v>37</v>
      </c>
      <c r="F7" s="6">
        <v>27</v>
      </c>
      <c r="G7" s="6">
        <v>19</v>
      </c>
      <c r="H7" s="6">
        <v>89</v>
      </c>
      <c r="I7" s="6">
        <v>8</v>
      </c>
      <c r="J7" s="6">
        <v>21</v>
      </c>
      <c r="K7" s="6">
        <v>6</v>
      </c>
      <c r="L7" s="6">
        <v>50</v>
      </c>
      <c r="M7" s="6">
        <v>35</v>
      </c>
    </row>
    <row r="8" spans="1:13">
      <c r="A8" s="4" t="s">
        <v>19</v>
      </c>
      <c r="B8" s="5">
        <v>80</v>
      </c>
      <c r="C8" s="5">
        <v>46</v>
      </c>
      <c r="D8" s="5">
        <v>7</v>
      </c>
      <c r="E8" s="5">
        <v>27</v>
      </c>
      <c r="F8" s="5">
        <v>38</v>
      </c>
      <c r="G8" s="5">
        <v>11</v>
      </c>
      <c r="H8" s="5">
        <v>21</v>
      </c>
      <c r="I8" s="5">
        <v>99</v>
      </c>
      <c r="J8" s="5">
        <v>58</v>
      </c>
      <c r="K8" s="5">
        <v>72</v>
      </c>
      <c r="L8" s="5">
        <v>19</v>
      </c>
      <c r="M8" s="5">
        <v>100</v>
      </c>
    </row>
    <row r="9" spans="1:13">
      <c r="A9" s="3" t="s">
        <v>20</v>
      </c>
      <c r="B9" s="6">
        <v>13</v>
      </c>
      <c r="C9" s="6">
        <v>65</v>
      </c>
      <c r="D9" s="6">
        <v>62</v>
      </c>
      <c r="E9" s="6">
        <v>51</v>
      </c>
      <c r="F9" s="6">
        <v>70</v>
      </c>
      <c r="G9" s="6">
        <v>80</v>
      </c>
      <c r="H9" s="6">
        <v>18</v>
      </c>
      <c r="I9" s="6">
        <v>62</v>
      </c>
      <c r="J9" s="6">
        <v>69</v>
      </c>
      <c r="K9" s="6">
        <v>33</v>
      </c>
      <c r="L9" s="6">
        <v>83</v>
      </c>
      <c r="M9" s="6">
        <v>10</v>
      </c>
    </row>
    <row r="10" spans="1:13">
      <c r="A10" s="4" t="s">
        <v>21</v>
      </c>
      <c r="B10" s="5">
        <v>98</v>
      </c>
      <c r="C10" s="5">
        <v>89</v>
      </c>
      <c r="D10" s="5">
        <v>71</v>
      </c>
      <c r="E10" s="5">
        <v>43</v>
      </c>
      <c r="F10" s="5">
        <v>63</v>
      </c>
      <c r="G10" s="5">
        <v>87</v>
      </c>
      <c r="H10" s="5">
        <v>8</v>
      </c>
      <c r="I10" s="5">
        <v>12</v>
      </c>
      <c r="J10" s="5">
        <v>66</v>
      </c>
      <c r="K10" s="5">
        <v>56</v>
      </c>
      <c r="L10" s="5">
        <v>59</v>
      </c>
      <c r="M10" s="5">
        <v>92</v>
      </c>
    </row>
    <row r="11" spans="1:13">
      <c r="A11" s="3" t="s">
        <v>22</v>
      </c>
      <c r="B11" s="6">
        <v>18</v>
      </c>
      <c r="C11" s="6">
        <v>67</v>
      </c>
      <c r="D11" s="6">
        <v>96</v>
      </c>
      <c r="E11" s="6">
        <v>61</v>
      </c>
      <c r="F11" s="6">
        <v>14</v>
      </c>
      <c r="G11" s="6">
        <v>15</v>
      </c>
      <c r="H11" s="6">
        <v>46</v>
      </c>
      <c r="I11" s="6">
        <v>82</v>
      </c>
      <c r="J11" s="6">
        <v>23</v>
      </c>
      <c r="K11" s="6">
        <v>13</v>
      </c>
      <c r="L11" s="6">
        <v>21</v>
      </c>
      <c r="M11" s="6">
        <v>40</v>
      </c>
    </row>
    <row r="12" spans="1:13">
      <c r="A12" s="4" t="s">
        <v>23</v>
      </c>
      <c r="B12" s="5">
        <v>84</v>
      </c>
      <c r="C12" s="5">
        <v>86</v>
      </c>
      <c r="D12" s="5">
        <v>79</v>
      </c>
      <c r="E12" s="5">
        <v>75</v>
      </c>
      <c r="F12" s="5">
        <v>96</v>
      </c>
      <c r="G12" s="5">
        <v>46</v>
      </c>
      <c r="H12" s="5">
        <v>53</v>
      </c>
      <c r="I12" s="5">
        <v>81</v>
      </c>
      <c r="J12" s="5">
        <v>72</v>
      </c>
      <c r="K12" s="5">
        <v>42</v>
      </c>
      <c r="L12" s="5">
        <v>63</v>
      </c>
      <c r="M12" s="5">
        <v>69</v>
      </c>
    </row>
    <row r="13" spans="1:13">
      <c r="A13" s="3" t="s">
        <v>24</v>
      </c>
      <c r="B13" s="6">
        <v>82</v>
      </c>
      <c r="C13" s="6">
        <v>60</v>
      </c>
      <c r="D13" s="6">
        <v>17</v>
      </c>
      <c r="E13" s="6">
        <v>94</v>
      </c>
      <c r="F13" s="6">
        <v>19</v>
      </c>
      <c r="G13" s="6">
        <v>88</v>
      </c>
      <c r="H13" s="6">
        <v>88</v>
      </c>
      <c r="I13" s="6">
        <v>75</v>
      </c>
      <c r="J13" s="6">
        <v>97</v>
      </c>
      <c r="K13" s="6">
        <v>32</v>
      </c>
      <c r="L13" s="6">
        <v>60</v>
      </c>
      <c r="M13" s="6">
        <v>62</v>
      </c>
    </row>
    <row r="14" spans="1:13">
      <c r="A14" s="4" t="s">
        <v>25</v>
      </c>
      <c r="B14" s="5">
        <v>34</v>
      </c>
      <c r="C14" s="5">
        <v>57</v>
      </c>
      <c r="D14" s="5">
        <v>48</v>
      </c>
      <c r="E14" s="5">
        <v>63</v>
      </c>
      <c r="F14" s="5">
        <v>56</v>
      </c>
      <c r="G14" s="5">
        <v>58</v>
      </c>
      <c r="H14" s="5">
        <v>98</v>
      </c>
      <c r="I14" s="5">
        <v>17</v>
      </c>
      <c r="J14" s="5">
        <v>45</v>
      </c>
      <c r="K14" s="5">
        <v>59</v>
      </c>
      <c r="L14" s="5">
        <v>45</v>
      </c>
      <c r="M14" s="5">
        <v>90</v>
      </c>
    </row>
    <row r="15" spans="1:13">
      <c r="A15" s="3" t="s">
        <v>26</v>
      </c>
      <c r="B15" s="6">
        <v>37</v>
      </c>
      <c r="C15" s="6">
        <v>52</v>
      </c>
      <c r="D15" s="6">
        <v>24</v>
      </c>
      <c r="E15" s="6">
        <v>92</v>
      </c>
      <c r="F15" s="6">
        <v>65</v>
      </c>
      <c r="G15" s="6">
        <v>13</v>
      </c>
      <c r="H15" s="6">
        <v>16</v>
      </c>
      <c r="I15" s="6">
        <v>15</v>
      </c>
      <c r="J15" s="6">
        <v>16</v>
      </c>
      <c r="K15" s="6">
        <v>60</v>
      </c>
      <c r="L15" s="6">
        <v>17</v>
      </c>
      <c r="M15" s="6">
        <v>100</v>
      </c>
    </row>
    <row r="16" spans="1:13">
      <c r="A16" s="4" t="s">
        <v>27</v>
      </c>
      <c r="B16" s="5">
        <v>99</v>
      </c>
      <c r="C16" s="5">
        <v>52</v>
      </c>
      <c r="D16" s="5">
        <v>21</v>
      </c>
      <c r="E16" s="5">
        <v>76</v>
      </c>
      <c r="F16" s="5">
        <v>12</v>
      </c>
      <c r="G16" s="5">
        <v>80</v>
      </c>
      <c r="H16" s="5">
        <v>76</v>
      </c>
      <c r="I16" s="5">
        <v>76</v>
      </c>
      <c r="J16" s="5">
        <v>47</v>
      </c>
      <c r="K16" s="5">
        <v>90</v>
      </c>
      <c r="L16" s="5">
        <v>20</v>
      </c>
      <c r="M16" s="5">
        <v>57</v>
      </c>
    </row>
    <row r="17" spans="1:13">
      <c r="A17" s="3" t="s">
        <v>28</v>
      </c>
      <c r="B17" s="6">
        <v>50</v>
      </c>
      <c r="C17" s="6">
        <v>90</v>
      </c>
      <c r="D17" s="6">
        <v>59</v>
      </c>
      <c r="E17" s="6">
        <v>97</v>
      </c>
      <c r="F17" s="6">
        <v>11</v>
      </c>
      <c r="G17" s="6">
        <v>41</v>
      </c>
      <c r="H17" s="6">
        <v>81</v>
      </c>
      <c r="I17" s="6">
        <v>44</v>
      </c>
      <c r="J17" s="6">
        <v>50</v>
      </c>
      <c r="K17" s="6">
        <v>18</v>
      </c>
      <c r="L17" s="6">
        <v>78</v>
      </c>
      <c r="M17" s="6">
        <v>69</v>
      </c>
    </row>
    <row r="18" spans="1:13">
      <c r="A18" s="4" t="s">
        <v>29</v>
      </c>
      <c r="B18" s="5">
        <v>32</v>
      </c>
      <c r="C18" s="5">
        <v>24</v>
      </c>
      <c r="D18" s="5">
        <v>89</v>
      </c>
      <c r="E18" s="5">
        <v>66</v>
      </c>
      <c r="F18" s="5">
        <v>33</v>
      </c>
      <c r="G18" s="5">
        <v>18</v>
      </c>
      <c r="H18" s="5">
        <v>49</v>
      </c>
      <c r="I18" s="5">
        <v>76</v>
      </c>
      <c r="J18" s="5">
        <v>52</v>
      </c>
      <c r="K18" s="5">
        <v>19</v>
      </c>
      <c r="L18" s="5">
        <v>40</v>
      </c>
      <c r="M18" s="5">
        <v>78</v>
      </c>
    </row>
    <row r="19" spans="1:13">
      <c r="A19" s="3" t="s">
        <v>30</v>
      </c>
      <c r="B19" s="6">
        <v>33</v>
      </c>
      <c r="C19" s="6">
        <v>59</v>
      </c>
      <c r="D19" s="6">
        <v>76</v>
      </c>
      <c r="E19" s="6">
        <v>84</v>
      </c>
      <c r="F19" s="6">
        <v>83</v>
      </c>
      <c r="G19" s="6">
        <v>91</v>
      </c>
      <c r="H19" s="6">
        <v>87</v>
      </c>
      <c r="I19" s="6">
        <v>76</v>
      </c>
      <c r="J19" s="6">
        <v>8</v>
      </c>
      <c r="K19" s="6">
        <v>82</v>
      </c>
      <c r="L19" s="6">
        <v>89</v>
      </c>
      <c r="M19" s="6">
        <v>93</v>
      </c>
    </row>
    <row r="20" spans="1:13">
      <c r="A20" s="4" t="s">
        <v>31</v>
      </c>
      <c r="B20" s="5">
        <v>39</v>
      </c>
      <c r="C20" s="5">
        <v>8</v>
      </c>
      <c r="D20" s="5">
        <v>28</v>
      </c>
      <c r="E20" s="5">
        <v>39</v>
      </c>
      <c r="F20" s="5">
        <v>94</v>
      </c>
      <c r="G20" s="5">
        <v>44</v>
      </c>
      <c r="H20" s="5">
        <v>48</v>
      </c>
      <c r="I20" s="5">
        <v>49</v>
      </c>
      <c r="J20" s="5">
        <v>5</v>
      </c>
      <c r="K20" s="5">
        <v>28</v>
      </c>
      <c r="L20" s="5">
        <v>23</v>
      </c>
      <c r="M20" s="5">
        <v>77</v>
      </c>
    </row>
    <row r="21" spans="1:13">
      <c r="A21" s="3" t="s">
        <v>32</v>
      </c>
      <c r="B21" s="6">
        <v>89</v>
      </c>
      <c r="C21" s="6">
        <v>56</v>
      </c>
      <c r="D21" s="6">
        <v>13</v>
      </c>
      <c r="E21" s="6">
        <v>23</v>
      </c>
      <c r="F21" s="6">
        <v>99</v>
      </c>
      <c r="G21" s="6">
        <v>86</v>
      </c>
      <c r="H21" s="6">
        <v>8</v>
      </c>
      <c r="I21" s="6">
        <v>16</v>
      </c>
      <c r="J21" s="6">
        <v>100</v>
      </c>
      <c r="K21" s="6">
        <v>72</v>
      </c>
      <c r="L21" s="6">
        <v>32</v>
      </c>
      <c r="M21" s="6">
        <v>53</v>
      </c>
    </row>
    <row r="22" spans="1:13">
      <c r="A22" s="4" t="s">
        <v>33</v>
      </c>
      <c r="B22" s="5">
        <v>58</v>
      </c>
      <c r="C22" s="5">
        <v>63</v>
      </c>
      <c r="D22" s="5">
        <v>48</v>
      </c>
      <c r="E22" s="5">
        <v>25</v>
      </c>
      <c r="F22" s="5">
        <v>52</v>
      </c>
      <c r="G22" s="5">
        <v>44</v>
      </c>
      <c r="H22" s="5">
        <v>97</v>
      </c>
      <c r="I22" s="5">
        <v>46</v>
      </c>
      <c r="J22" s="5">
        <v>77</v>
      </c>
      <c r="K22" s="5">
        <v>81</v>
      </c>
      <c r="L22" s="5">
        <v>15</v>
      </c>
      <c r="M22" s="5">
        <v>11</v>
      </c>
    </row>
    <row r="23" spans="1:13">
      <c r="A23" s="3" t="s">
        <v>34</v>
      </c>
      <c r="B23" s="6">
        <v>24</v>
      </c>
      <c r="C23" s="6">
        <v>25</v>
      </c>
      <c r="D23" s="6">
        <v>84</v>
      </c>
      <c r="E23" s="6">
        <v>11</v>
      </c>
      <c r="F23" s="6">
        <v>91</v>
      </c>
      <c r="G23" s="6">
        <v>15</v>
      </c>
      <c r="H23" s="6">
        <v>39</v>
      </c>
      <c r="I23" s="6">
        <v>61</v>
      </c>
      <c r="J23" s="6">
        <v>89</v>
      </c>
      <c r="K23" s="6">
        <v>59</v>
      </c>
      <c r="L23" s="6">
        <v>67</v>
      </c>
      <c r="M23" s="6">
        <v>82</v>
      </c>
    </row>
    <row r="24" spans="1:13">
      <c r="A24" s="4" t="s">
        <v>35</v>
      </c>
      <c r="B24" s="5">
        <v>61</v>
      </c>
      <c r="C24" s="5">
        <v>58</v>
      </c>
      <c r="D24" s="5">
        <v>39</v>
      </c>
      <c r="E24" s="5">
        <v>32</v>
      </c>
      <c r="F24" s="5">
        <v>70</v>
      </c>
      <c r="G24" s="5">
        <v>19</v>
      </c>
      <c r="H24" s="5">
        <v>49</v>
      </c>
      <c r="I24" s="5">
        <v>60</v>
      </c>
      <c r="J24" s="5">
        <v>19</v>
      </c>
      <c r="K24" s="5">
        <v>41</v>
      </c>
      <c r="L24" s="5">
        <v>91</v>
      </c>
      <c r="M24" s="5">
        <v>91</v>
      </c>
    </row>
    <row r="25" spans="1:13">
      <c r="A25" s="3" t="s">
        <v>36</v>
      </c>
      <c r="B25" s="6">
        <v>80</v>
      </c>
      <c r="C25" s="6">
        <v>67</v>
      </c>
      <c r="D25" s="6">
        <v>72</v>
      </c>
      <c r="E25" s="6">
        <v>90</v>
      </c>
      <c r="F25" s="6">
        <v>44</v>
      </c>
      <c r="G25" s="6">
        <v>10</v>
      </c>
      <c r="H25" s="6">
        <v>33</v>
      </c>
      <c r="I25" s="6">
        <v>55</v>
      </c>
      <c r="J25" s="6">
        <v>81</v>
      </c>
      <c r="K25" s="6">
        <v>12</v>
      </c>
      <c r="L25" s="6">
        <v>5</v>
      </c>
      <c r="M25" s="6">
        <v>31</v>
      </c>
    </row>
    <row r="26" spans="1:13">
      <c r="A26" s="4" t="s">
        <v>37</v>
      </c>
      <c r="B26" s="5">
        <v>43</v>
      </c>
      <c r="C26" s="5">
        <v>32</v>
      </c>
      <c r="D26" s="5">
        <v>22</v>
      </c>
      <c r="E26" s="5">
        <v>37</v>
      </c>
      <c r="F26" s="5">
        <v>42</v>
      </c>
      <c r="G26" s="5">
        <v>46</v>
      </c>
      <c r="H26" s="5">
        <v>20</v>
      </c>
      <c r="I26" s="5">
        <v>5</v>
      </c>
      <c r="J26" s="5">
        <v>68</v>
      </c>
      <c r="K26" s="5">
        <v>100</v>
      </c>
      <c r="L26" s="5">
        <v>60</v>
      </c>
      <c r="M26" s="5">
        <v>27</v>
      </c>
    </row>
    <row r="27" spans="1:13">
      <c r="A27" s="3" t="s">
        <v>38</v>
      </c>
      <c r="B27" s="6">
        <v>21</v>
      </c>
      <c r="C27" s="6">
        <v>53</v>
      </c>
      <c r="D27" s="6">
        <v>73</v>
      </c>
      <c r="E27" s="6">
        <v>95</v>
      </c>
      <c r="F27" s="6">
        <v>34</v>
      </c>
      <c r="G27" s="6">
        <v>69</v>
      </c>
      <c r="H27" s="6">
        <v>76</v>
      </c>
      <c r="I27" s="6">
        <v>90</v>
      </c>
      <c r="J27" s="6">
        <v>50</v>
      </c>
      <c r="K27" s="6">
        <v>14</v>
      </c>
      <c r="L27" s="6">
        <v>55</v>
      </c>
      <c r="M27" s="6">
        <v>99</v>
      </c>
    </row>
    <row r="28" spans="1:13">
      <c r="A28" s="4" t="s">
        <v>39</v>
      </c>
      <c r="B28" s="5">
        <v>10</v>
      </c>
      <c r="C28" s="5">
        <v>60</v>
      </c>
      <c r="D28" s="5">
        <v>7</v>
      </c>
      <c r="E28" s="5">
        <v>63</v>
      </c>
      <c r="F28" s="5">
        <v>14</v>
      </c>
      <c r="G28" s="5">
        <v>45</v>
      </c>
      <c r="H28" s="5">
        <v>78</v>
      </c>
      <c r="I28" s="5">
        <v>59</v>
      </c>
      <c r="J28" s="5">
        <v>78</v>
      </c>
      <c r="K28" s="5">
        <v>56</v>
      </c>
      <c r="L28" s="5">
        <v>95</v>
      </c>
      <c r="M28" s="5">
        <v>86</v>
      </c>
    </row>
    <row r="29" spans="1:13">
      <c r="A29" s="3" t="s">
        <v>40</v>
      </c>
      <c r="B29" s="6">
        <v>58</v>
      </c>
      <c r="C29" s="6">
        <v>42</v>
      </c>
      <c r="D29" s="6">
        <v>19</v>
      </c>
      <c r="E29" s="6">
        <v>56</v>
      </c>
      <c r="F29" s="6">
        <v>7</v>
      </c>
      <c r="G29" s="6">
        <v>46</v>
      </c>
      <c r="H29" s="6">
        <v>26</v>
      </c>
      <c r="I29" s="6">
        <v>84</v>
      </c>
      <c r="J29" s="6">
        <v>63</v>
      </c>
      <c r="K29" s="6">
        <v>93</v>
      </c>
      <c r="L29" s="6">
        <v>51</v>
      </c>
      <c r="M29" s="6">
        <v>16</v>
      </c>
    </row>
    <row r="30" spans="1:13">
      <c r="A30" s="4" t="s">
        <v>41</v>
      </c>
      <c r="B30" s="5">
        <v>60</v>
      </c>
      <c r="C30" s="5">
        <v>18</v>
      </c>
      <c r="D30" s="5">
        <v>36</v>
      </c>
      <c r="E30" s="5">
        <v>60</v>
      </c>
      <c r="F30" s="5">
        <v>80</v>
      </c>
      <c r="G30" s="5">
        <v>56</v>
      </c>
      <c r="H30" s="5">
        <v>72</v>
      </c>
      <c r="I30" s="5">
        <v>15</v>
      </c>
      <c r="J30" s="5">
        <v>55</v>
      </c>
      <c r="K30" s="5">
        <v>44</v>
      </c>
      <c r="L30" s="5">
        <v>100</v>
      </c>
      <c r="M30" s="5">
        <v>48</v>
      </c>
    </row>
    <row r="31" spans="1:13">
      <c r="A31" s="3" t="s">
        <v>42</v>
      </c>
      <c r="B31" s="6">
        <v>33</v>
      </c>
      <c r="C31" s="6">
        <v>47</v>
      </c>
      <c r="D31" s="6">
        <v>26</v>
      </c>
      <c r="E31" s="6">
        <v>14</v>
      </c>
      <c r="F31" s="6">
        <v>70</v>
      </c>
      <c r="G31" s="6">
        <v>86</v>
      </c>
      <c r="H31" s="6">
        <v>19</v>
      </c>
      <c r="I31" s="6">
        <v>72</v>
      </c>
      <c r="J31" s="6">
        <v>70</v>
      </c>
      <c r="K31" s="6">
        <v>29</v>
      </c>
      <c r="L31" s="6">
        <v>49</v>
      </c>
      <c r="M31" s="6">
        <v>49</v>
      </c>
    </row>
    <row r="32" spans="1:13">
      <c r="A32" s="7" t="s">
        <v>43</v>
      </c>
      <c r="B32" s="8">
        <v>98</v>
      </c>
      <c r="C32" s="8">
        <v>87</v>
      </c>
      <c r="D32" s="8">
        <v>23</v>
      </c>
      <c r="E32" s="8">
        <v>35</v>
      </c>
      <c r="F32" s="8">
        <v>18</v>
      </c>
      <c r="G32" s="8">
        <v>23</v>
      </c>
      <c r="H32" s="8">
        <v>37</v>
      </c>
      <c r="I32" s="8">
        <v>30</v>
      </c>
      <c r="J32" s="8">
        <v>27</v>
      </c>
      <c r="K32" s="8">
        <v>82</v>
      </c>
      <c r="L32" s="8">
        <v>24</v>
      </c>
      <c r="M32" s="8">
        <v>88</v>
      </c>
    </row>
    <row r="33" spans="1:13">
      <c r="A33" s="7" t="s">
        <v>44</v>
      </c>
      <c r="B33" s="8">
        <v>14</v>
      </c>
      <c r="C33" s="8">
        <v>27</v>
      </c>
      <c r="D33" s="8">
        <v>85</v>
      </c>
      <c r="E33" s="8">
        <v>68</v>
      </c>
      <c r="F33" s="8">
        <v>64</v>
      </c>
      <c r="G33" s="8">
        <v>77</v>
      </c>
      <c r="H33" s="8">
        <v>79</v>
      </c>
      <c r="I33" s="8">
        <v>62</v>
      </c>
      <c r="J33" s="8">
        <v>92</v>
      </c>
      <c r="K33" s="8">
        <v>77</v>
      </c>
      <c r="L33" s="8">
        <v>87</v>
      </c>
      <c r="M33" s="8">
        <v>86</v>
      </c>
    </row>
    <row r="34" spans="1:13">
      <c r="A34" s="7" t="s">
        <v>45</v>
      </c>
      <c r="B34" s="7" t="str">
        <f>SUM(B3:B30)</f>
        <v>sum</v>
      </c>
      <c r="C34" s="7" t="str">
        <f>SUM(C3:C30)</f>
        <v>sum</v>
      </c>
      <c r="D34" s="7" t="str">
        <f>SUM(D3:D30)</f>
        <v>sum</v>
      </c>
      <c r="E34" s="7" t="str">
        <f>SUM(E3:E30)</f>
        <v>sum</v>
      </c>
      <c r="F34" s="7" t="str">
        <f>SUM(F3:F30)</f>
        <v>sum</v>
      </c>
      <c r="G34" s="7" t="str">
        <f>SUM(G3:G30)</f>
        <v>sum</v>
      </c>
      <c r="H34" s="7" t="str">
        <f>SUM(H3:H30)</f>
        <v>sum</v>
      </c>
      <c r="I34" s="7" t="str">
        <f>SUM(I3:I30)</f>
        <v>sum</v>
      </c>
      <c r="J34" s="7" t="str">
        <f>SUM(J3:J30)</f>
        <v>sum</v>
      </c>
      <c r="K34" s="7" t="str">
        <f>SUM(K3:K30)</f>
        <v>sum</v>
      </c>
      <c r="L34" s="7" t="str">
        <f>SUM(L3:L30)</f>
        <v>sum</v>
      </c>
      <c r="M34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7.7109375" customWidth="1"/>
    <col min="2" max="13" width="19.7109375" customWidth="1"/>
  </cols>
  <sheetData>
    <row r="1" spans="1:13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51</v>
      </c>
      <c r="B3" s="3">
        <f>359</f>
        <v>359</v>
      </c>
      <c r="C3" s="3">
        <f>205</f>
        <v>205</v>
      </c>
      <c r="D3" s="3">
        <f>482</f>
        <v>482</v>
      </c>
      <c r="E3" s="3">
        <f>361</f>
        <v>361</v>
      </c>
      <c r="F3" s="3">
        <f>201</f>
        <v>201</v>
      </c>
      <c r="G3" s="3">
        <f>117</f>
        <v>117</v>
      </c>
      <c r="H3" s="3">
        <f>265</f>
        <v>265</v>
      </c>
      <c r="I3" s="3">
        <f>74</f>
        <v>74</v>
      </c>
      <c r="J3" s="3">
        <f>280</f>
        <v>280</v>
      </c>
      <c r="K3" s="3">
        <f>266</f>
        <v>266</v>
      </c>
      <c r="L3" s="3">
        <f>363</f>
        <v>363</v>
      </c>
      <c r="M3" s="3">
        <f>195</f>
        <v>195</v>
      </c>
    </row>
    <row r="4" spans="1:13">
      <c r="A4" s="4" t="s">
        <v>52</v>
      </c>
      <c r="B4" s="4">
        <f>447</f>
        <v>447</v>
      </c>
      <c r="C4" s="4">
        <f>180</f>
        <v>180</v>
      </c>
      <c r="D4" s="4">
        <f>342</f>
        <v>342</v>
      </c>
      <c r="E4" s="4">
        <f>68</f>
        <v>68</v>
      </c>
      <c r="F4" s="4">
        <f>220</f>
        <v>220</v>
      </c>
      <c r="G4" s="4">
        <f>299</f>
        <v>299</v>
      </c>
      <c r="H4" s="4">
        <f>77</f>
        <v>77</v>
      </c>
      <c r="I4" s="4">
        <f>198</f>
        <v>198</v>
      </c>
      <c r="J4" s="4">
        <f>276</f>
        <v>276</v>
      </c>
      <c r="K4" s="4">
        <f>271</f>
        <v>271</v>
      </c>
      <c r="L4" s="4">
        <f>59</f>
        <v>59</v>
      </c>
      <c r="M4" s="4">
        <f>69</f>
        <v>69</v>
      </c>
    </row>
    <row r="5" spans="1:13">
      <c r="A5" s="3" t="s">
        <v>53</v>
      </c>
      <c r="B5" s="3">
        <f>228</f>
        <v>228</v>
      </c>
      <c r="C5" s="3">
        <f>465</f>
        <v>465</v>
      </c>
      <c r="D5" s="3">
        <f>186</f>
        <v>186</v>
      </c>
      <c r="E5" s="3">
        <f>79</f>
        <v>79</v>
      </c>
      <c r="F5" s="3">
        <f>370</f>
        <v>370</v>
      </c>
      <c r="G5" s="3">
        <f>482</f>
        <v>482</v>
      </c>
      <c r="H5" s="3">
        <f>477</f>
        <v>477</v>
      </c>
      <c r="I5" s="3">
        <f>86</f>
        <v>86</v>
      </c>
      <c r="J5" s="3">
        <f>354</f>
        <v>354</v>
      </c>
      <c r="K5" s="3">
        <f>344</f>
        <v>344</v>
      </c>
      <c r="L5" s="3">
        <f>299</f>
        <v>299</v>
      </c>
      <c r="M5" s="3">
        <f>236</f>
        <v>236</v>
      </c>
    </row>
    <row r="6" spans="1:13">
      <c r="A6" s="4" t="s">
        <v>17</v>
      </c>
      <c r="B6" s="5">
        <v>64</v>
      </c>
      <c r="C6" s="5">
        <v>79</v>
      </c>
      <c r="D6" s="5">
        <v>75</v>
      </c>
      <c r="E6" s="5">
        <v>99</v>
      </c>
      <c r="F6" s="5">
        <v>10</v>
      </c>
      <c r="G6" s="5">
        <v>62</v>
      </c>
      <c r="H6" s="5">
        <v>78</v>
      </c>
      <c r="I6" s="5">
        <v>88</v>
      </c>
      <c r="J6" s="5">
        <v>29</v>
      </c>
      <c r="K6" s="5">
        <v>46</v>
      </c>
      <c r="L6" s="5">
        <v>82</v>
      </c>
      <c r="M6" s="5">
        <v>65</v>
      </c>
    </row>
    <row r="7" spans="1:13">
      <c r="A7" s="3" t="s">
        <v>18</v>
      </c>
      <c r="B7" s="6">
        <v>69</v>
      </c>
      <c r="C7" s="6">
        <v>24</v>
      </c>
      <c r="D7" s="6">
        <v>12</v>
      </c>
      <c r="E7" s="6">
        <v>62</v>
      </c>
      <c r="F7" s="6">
        <v>18</v>
      </c>
      <c r="G7" s="6">
        <v>48</v>
      </c>
      <c r="H7" s="6">
        <v>96</v>
      </c>
      <c r="I7" s="6">
        <v>15</v>
      </c>
      <c r="J7" s="6">
        <v>69</v>
      </c>
      <c r="K7" s="6">
        <v>87</v>
      </c>
      <c r="L7" s="6">
        <v>27</v>
      </c>
      <c r="M7" s="6">
        <v>10</v>
      </c>
    </row>
    <row r="8" spans="1:13">
      <c r="A8" s="4" t="s">
        <v>19</v>
      </c>
      <c r="B8" s="5">
        <v>36</v>
      </c>
      <c r="C8" s="5">
        <v>95</v>
      </c>
      <c r="D8" s="5">
        <v>61</v>
      </c>
      <c r="E8" s="5">
        <v>61</v>
      </c>
      <c r="F8" s="5">
        <v>72</v>
      </c>
      <c r="G8" s="5">
        <v>71</v>
      </c>
      <c r="H8" s="5">
        <v>83</v>
      </c>
      <c r="I8" s="5">
        <v>25</v>
      </c>
      <c r="J8" s="5">
        <v>51</v>
      </c>
      <c r="K8" s="5">
        <v>52</v>
      </c>
      <c r="L8" s="5">
        <v>41</v>
      </c>
      <c r="M8" s="5">
        <v>54</v>
      </c>
    </row>
    <row r="9" spans="1:13">
      <c r="A9" s="3" t="s">
        <v>20</v>
      </c>
      <c r="B9" s="6">
        <v>57</v>
      </c>
      <c r="C9" s="6">
        <v>48</v>
      </c>
      <c r="D9" s="6">
        <v>91</v>
      </c>
      <c r="E9" s="6">
        <v>81</v>
      </c>
      <c r="F9" s="6">
        <v>11</v>
      </c>
      <c r="G9" s="6">
        <v>85</v>
      </c>
      <c r="H9" s="6">
        <v>87</v>
      </c>
      <c r="I9" s="6">
        <v>47</v>
      </c>
      <c r="J9" s="6">
        <v>13</v>
      </c>
      <c r="K9" s="6">
        <v>47</v>
      </c>
      <c r="L9" s="6">
        <v>17</v>
      </c>
      <c r="M9" s="6">
        <v>76</v>
      </c>
    </row>
    <row r="10" spans="1:13">
      <c r="A10" s="4" t="s">
        <v>21</v>
      </c>
      <c r="B10" s="5">
        <v>91</v>
      </c>
      <c r="C10" s="5">
        <v>54</v>
      </c>
      <c r="D10" s="5">
        <v>41</v>
      </c>
      <c r="E10" s="5">
        <v>37</v>
      </c>
      <c r="F10" s="5">
        <v>97</v>
      </c>
      <c r="G10" s="5">
        <v>89</v>
      </c>
      <c r="H10" s="5">
        <v>82</v>
      </c>
      <c r="I10" s="5">
        <v>24</v>
      </c>
      <c r="J10" s="5">
        <v>47</v>
      </c>
      <c r="K10" s="5">
        <v>15</v>
      </c>
      <c r="L10" s="5">
        <v>79</v>
      </c>
      <c r="M10" s="5">
        <v>89</v>
      </c>
    </row>
    <row r="11" spans="1:13">
      <c r="A11" s="3" t="s">
        <v>22</v>
      </c>
      <c r="B11" s="6">
        <v>23</v>
      </c>
      <c r="C11" s="6">
        <v>49</v>
      </c>
      <c r="D11" s="6">
        <v>44</v>
      </c>
      <c r="E11" s="6">
        <v>88</v>
      </c>
      <c r="F11" s="6">
        <v>94</v>
      </c>
      <c r="G11" s="6">
        <v>89</v>
      </c>
      <c r="H11" s="6">
        <v>55</v>
      </c>
      <c r="I11" s="6">
        <v>21</v>
      </c>
      <c r="J11" s="6">
        <v>81</v>
      </c>
      <c r="K11" s="6">
        <v>95</v>
      </c>
      <c r="L11" s="6">
        <v>15</v>
      </c>
      <c r="M11" s="6">
        <v>44</v>
      </c>
    </row>
    <row r="12" spans="1:13">
      <c r="A12" s="4" t="s">
        <v>23</v>
      </c>
      <c r="B12" s="5">
        <v>76</v>
      </c>
      <c r="C12" s="5">
        <v>53</v>
      </c>
      <c r="D12" s="5">
        <v>87</v>
      </c>
      <c r="E12" s="5">
        <v>47</v>
      </c>
      <c r="F12" s="5">
        <v>21</v>
      </c>
      <c r="G12" s="5">
        <v>90</v>
      </c>
      <c r="H12" s="5">
        <v>94</v>
      </c>
      <c r="I12" s="5">
        <v>99</v>
      </c>
      <c r="J12" s="5">
        <v>92</v>
      </c>
      <c r="K12" s="5">
        <v>72</v>
      </c>
      <c r="L12" s="5">
        <v>16</v>
      </c>
      <c r="M12" s="5">
        <v>87</v>
      </c>
    </row>
    <row r="13" spans="1:13">
      <c r="A13" s="3" t="s">
        <v>24</v>
      </c>
      <c r="B13" s="6">
        <v>90</v>
      </c>
      <c r="C13" s="6">
        <v>59</v>
      </c>
      <c r="D13" s="6">
        <v>70</v>
      </c>
      <c r="E13" s="6">
        <v>51</v>
      </c>
      <c r="F13" s="6">
        <v>7</v>
      </c>
      <c r="G13" s="6">
        <v>51</v>
      </c>
      <c r="H13" s="6">
        <v>44</v>
      </c>
      <c r="I13" s="6">
        <v>28</v>
      </c>
      <c r="J13" s="6">
        <v>32</v>
      </c>
      <c r="K13" s="6">
        <v>48</v>
      </c>
      <c r="L13" s="6">
        <v>67</v>
      </c>
      <c r="M13" s="6">
        <v>29</v>
      </c>
    </row>
    <row r="14" spans="1:13">
      <c r="A14" s="4" t="s">
        <v>25</v>
      </c>
      <c r="B14" s="5">
        <v>33</v>
      </c>
      <c r="C14" s="5">
        <v>22</v>
      </c>
      <c r="D14" s="5">
        <v>24</v>
      </c>
      <c r="E14" s="5">
        <v>14</v>
      </c>
      <c r="F14" s="5">
        <v>42</v>
      </c>
      <c r="G14" s="5">
        <v>17</v>
      </c>
      <c r="H14" s="5">
        <v>69</v>
      </c>
      <c r="I14" s="5">
        <v>74</v>
      </c>
      <c r="J14" s="5">
        <v>99</v>
      </c>
      <c r="K14" s="5">
        <v>72</v>
      </c>
      <c r="L14" s="5">
        <v>9</v>
      </c>
      <c r="M14" s="5">
        <v>89</v>
      </c>
    </row>
    <row r="15" spans="1:13">
      <c r="A15" s="3" t="s">
        <v>26</v>
      </c>
      <c r="B15" s="6">
        <v>48</v>
      </c>
      <c r="C15" s="6">
        <v>84</v>
      </c>
      <c r="D15" s="6">
        <v>21</v>
      </c>
      <c r="E15" s="6">
        <v>81</v>
      </c>
      <c r="F15" s="6">
        <v>53</v>
      </c>
      <c r="G15" s="6">
        <v>24</v>
      </c>
      <c r="H15" s="6">
        <v>25</v>
      </c>
      <c r="I15" s="6">
        <v>28</v>
      </c>
      <c r="J15" s="6">
        <v>93</v>
      </c>
      <c r="K15" s="6">
        <v>84</v>
      </c>
      <c r="L15" s="6">
        <v>26</v>
      </c>
      <c r="M15" s="6">
        <v>97</v>
      </c>
    </row>
    <row r="16" spans="1:13">
      <c r="A16" s="4" t="s">
        <v>27</v>
      </c>
      <c r="B16" s="5">
        <v>61</v>
      </c>
      <c r="C16" s="5">
        <v>10</v>
      </c>
      <c r="D16" s="5">
        <v>57</v>
      </c>
      <c r="E16" s="5">
        <v>51</v>
      </c>
      <c r="F16" s="5">
        <v>91</v>
      </c>
      <c r="G16" s="5">
        <v>97</v>
      </c>
      <c r="H16" s="5">
        <v>35</v>
      </c>
      <c r="I16" s="5">
        <v>61</v>
      </c>
      <c r="J16" s="5">
        <v>83</v>
      </c>
      <c r="K16" s="5">
        <v>41</v>
      </c>
      <c r="L16" s="5">
        <v>100</v>
      </c>
      <c r="M16" s="5">
        <v>62</v>
      </c>
    </row>
    <row r="17" spans="1:13">
      <c r="A17" s="3" t="s">
        <v>28</v>
      </c>
      <c r="B17" s="6">
        <v>34</v>
      </c>
      <c r="C17" s="6">
        <v>73</v>
      </c>
      <c r="D17" s="6">
        <v>35</v>
      </c>
      <c r="E17" s="6">
        <v>44</v>
      </c>
      <c r="F17" s="6">
        <v>65</v>
      </c>
      <c r="G17" s="6">
        <v>29</v>
      </c>
      <c r="H17" s="6">
        <v>52</v>
      </c>
      <c r="I17" s="6">
        <v>91</v>
      </c>
      <c r="J17" s="6">
        <v>78</v>
      </c>
      <c r="K17" s="6">
        <v>61</v>
      </c>
      <c r="L17" s="6">
        <v>64</v>
      </c>
      <c r="M17" s="6">
        <v>41</v>
      </c>
    </row>
    <row r="18" spans="1:13">
      <c r="A18" s="4" t="s">
        <v>29</v>
      </c>
      <c r="B18" s="5">
        <v>53</v>
      </c>
      <c r="C18" s="5">
        <v>69</v>
      </c>
      <c r="D18" s="5">
        <v>72</v>
      </c>
      <c r="E18" s="5">
        <v>58</v>
      </c>
      <c r="F18" s="5">
        <v>25</v>
      </c>
      <c r="G18" s="5">
        <v>30</v>
      </c>
      <c r="H18" s="5">
        <v>82</v>
      </c>
      <c r="I18" s="5">
        <v>22</v>
      </c>
      <c r="J18" s="5">
        <v>37</v>
      </c>
      <c r="K18" s="5">
        <v>11</v>
      </c>
      <c r="L18" s="5">
        <v>87</v>
      </c>
      <c r="M18" s="5">
        <v>66</v>
      </c>
    </row>
    <row r="19" spans="1:13">
      <c r="A19" s="3" t="s">
        <v>30</v>
      </c>
      <c r="B19" s="6">
        <v>52</v>
      </c>
      <c r="C19" s="6">
        <v>75</v>
      </c>
      <c r="D19" s="6">
        <v>18</v>
      </c>
      <c r="E19" s="6">
        <v>96</v>
      </c>
      <c r="F19" s="6">
        <v>71</v>
      </c>
      <c r="G19" s="6">
        <v>20</v>
      </c>
      <c r="H19" s="6">
        <v>41</v>
      </c>
      <c r="I19" s="6">
        <v>15</v>
      </c>
      <c r="J19" s="6">
        <v>25</v>
      </c>
      <c r="K19" s="6">
        <v>39</v>
      </c>
      <c r="L19" s="6">
        <v>62</v>
      </c>
      <c r="M19" s="6">
        <v>70</v>
      </c>
    </row>
    <row r="20" spans="1:13">
      <c r="A20" s="4" t="s">
        <v>31</v>
      </c>
      <c r="B20" s="5">
        <v>23</v>
      </c>
      <c r="C20" s="5">
        <v>60</v>
      </c>
      <c r="D20" s="5">
        <v>16</v>
      </c>
      <c r="E20" s="5">
        <v>33</v>
      </c>
      <c r="F20" s="5">
        <v>62</v>
      </c>
      <c r="G20" s="5">
        <v>49</v>
      </c>
      <c r="H20" s="5">
        <v>8</v>
      </c>
      <c r="I20" s="5">
        <v>58</v>
      </c>
      <c r="J20" s="5">
        <v>11</v>
      </c>
      <c r="K20" s="5">
        <v>55</v>
      </c>
      <c r="L20" s="5">
        <v>69</v>
      </c>
      <c r="M20" s="5">
        <v>52</v>
      </c>
    </row>
    <row r="21" spans="1:13">
      <c r="A21" s="3" t="s">
        <v>32</v>
      </c>
      <c r="B21" s="6">
        <v>35</v>
      </c>
      <c r="C21" s="6">
        <v>54</v>
      </c>
      <c r="D21" s="6">
        <v>15</v>
      </c>
      <c r="E21" s="6">
        <v>52</v>
      </c>
      <c r="F21" s="6">
        <v>33</v>
      </c>
      <c r="G21" s="6">
        <v>8</v>
      </c>
      <c r="H21" s="6">
        <v>45</v>
      </c>
      <c r="I21" s="6">
        <v>17</v>
      </c>
      <c r="J21" s="6">
        <v>96</v>
      </c>
      <c r="K21" s="6">
        <v>88</v>
      </c>
      <c r="L21" s="6">
        <v>47</v>
      </c>
      <c r="M21" s="6">
        <v>23</v>
      </c>
    </row>
    <row r="22" spans="1:13">
      <c r="A22" s="4" t="s">
        <v>33</v>
      </c>
      <c r="B22" s="5">
        <v>22</v>
      </c>
      <c r="C22" s="5">
        <v>9</v>
      </c>
      <c r="D22" s="5">
        <v>41</v>
      </c>
      <c r="E22" s="5">
        <v>65</v>
      </c>
      <c r="F22" s="5">
        <v>94</v>
      </c>
      <c r="G22" s="5">
        <v>22</v>
      </c>
      <c r="H22" s="5">
        <v>95</v>
      </c>
      <c r="I22" s="5">
        <v>65</v>
      </c>
      <c r="J22" s="5">
        <v>62</v>
      </c>
      <c r="K22" s="5">
        <v>83</v>
      </c>
      <c r="L22" s="5">
        <v>5</v>
      </c>
      <c r="M22" s="5">
        <v>15</v>
      </c>
    </row>
    <row r="23" spans="1:13">
      <c r="A23" s="3" t="s">
        <v>34</v>
      </c>
      <c r="B23" s="6">
        <v>7</v>
      </c>
      <c r="C23" s="6">
        <v>37</v>
      </c>
      <c r="D23" s="6">
        <v>32</v>
      </c>
      <c r="E23" s="6">
        <v>24</v>
      </c>
      <c r="F23" s="6">
        <v>75</v>
      </c>
      <c r="G23" s="6">
        <v>98</v>
      </c>
      <c r="H23" s="6">
        <v>82</v>
      </c>
      <c r="I23" s="6">
        <v>72</v>
      </c>
      <c r="J23" s="6">
        <v>59</v>
      </c>
      <c r="K23" s="6">
        <v>19</v>
      </c>
      <c r="L23" s="6">
        <v>41</v>
      </c>
      <c r="M23" s="6">
        <v>35</v>
      </c>
    </row>
    <row r="24" spans="1:13">
      <c r="A24" s="4" t="s">
        <v>35</v>
      </c>
      <c r="B24" s="5">
        <v>43</v>
      </c>
      <c r="C24" s="5">
        <v>20</v>
      </c>
      <c r="D24" s="5">
        <v>11</v>
      </c>
      <c r="E24" s="5">
        <v>35</v>
      </c>
      <c r="F24" s="5">
        <v>58</v>
      </c>
      <c r="G24" s="5">
        <v>86</v>
      </c>
      <c r="H24" s="5">
        <v>84</v>
      </c>
      <c r="I24" s="5">
        <v>63</v>
      </c>
      <c r="J24" s="5">
        <v>13</v>
      </c>
      <c r="K24" s="5">
        <v>19</v>
      </c>
      <c r="L24" s="5">
        <v>68</v>
      </c>
      <c r="M24" s="5">
        <v>81</v>
      </c>
    </row>
    <row r="25" spans="1:13">
      <c r="A25" s="3" t="s">
        <v>36</v>
      </c>
      <c r="B25" s="6">
        <v>73</v>
      </c>
      <c r="C25" s="6">
        <v>7</v>
      </c>
      <c r="D25" s="6">
        <v>85</v>
      </c>
      <c r="E25" s="6">
        <v>70</v>
      </c>
      <c r="F25" s="6">
        <v>78</v>
      </c>
      <c r="G25" s="6">
        <v>35</v>
      </c>
      <c r="H25" s="6">
        <v>96</v>
      </c>
      <c r="I25" s="6">
        <v>23</v>
      </c>
      <c r="J25" s="6">
        <v>42</v>
      </c>
      <c r="K25" s="6">
        <v>59</v>
      </c>
      <c r="L25" s="6">
        <v>5</v>
      </c>
      <c r="M25" s="6">
        <v>83</v>
      </c>
    </row>
    <row r="26" spans="1:13">
      <c r="A26" s="4" t="s">
        <v>37</v>
      </c>
      <c r="B26" s="5">
        <v>50</v>
      </c>
      <c r="C26" s="5">
        <v>35</v>
      </c>
      <c r="D26" s="5">
        <v>78</v>
      </c>
      <c r="E26" s="5">
        <v>58</v>
      </c>
      <c r="F26" s="5">
        <v>28</v>
      </c>
      <c r="G26" s="5">
        <v>90</v>
      </c>
      <c r="H26" s="5">
        <v>90</v>
      </c>
      <c r="I26" s="5">
        <v>15</v>
      </c>
      <c r="J26" s="5">
        <v>72</v>
      </c>
      <c r="K26" s="5">
        <v>51</v>
      </c>
      <c r="L26" s="5">
        <v>13</v>
      </c>
      <c r="M26" s="5">
        <v>72</v>
      </c>
    </row>
    <row r="27" spans="1:13">
      <c r="A27" s="3" t="s">
        <v>38</v>
      </c>
      <c r="B27" s="6">
        <v>74</v>
      </c>
      <c r="C27" s="6">
        <v>69</v>
      </c>
      <c r="D27" s="6">
        <v>69</v>
      </c>
      <c r="E27" s="6">
        <v>75</v>
      </c>
      <c r="F27" s="6">
        <v>7</v>
      </c>
      <c r="G27" s="6">
        <v>54</v>
      </c>
      <c r="H27" s="6">
        <v>65</v>
      </c>
      <c r="I27" s="6">
        <v>10</v>
      </c>
      <c r="J27" s="6">
        <v>86</v>
      </c>
      <c r="K27" s="6">
        <v>54</v>
      </c>
      <c r="L27" s="6">
        <v>52</v>
      </c>
      <c r="M27" s="6">
        <v>37</v>
      </c>
    </row>
    <row r="28" spans="1:13">
      <c r="A28" s="4" t="s">
        <v>39</v>
      </c>
      <c r="B28" s="5">
        <v>100</v>
      </c>
      <c r="C28" s="5">
        <v>7</v>
      </c>
      <c r="D28" s="5">
        <v>50</v>
      </c>
      <c r="E28" s="5">
        <v>13</v>
      </c>
      <c r="F28" s="5">
        <v>49</v>
      </c>
      <c r="G28" s="5">
        <v>35</v>
      </c>
      <c r="H28" s="5">
        <v>98</v>
      </c>
      <c r="I28" s="5">
        <v>89</v>
      </c>
      <c r="J28" s="5">
        <v>85</v>
      </c>
      <c r="K28" s="5">
        <v>18</v>
      </c>
      <c r="L28" s="5">
        <v>79</v>
      </c>
      <c r="M28" s="5">
        <v>99</v>
      </c>
    </row>
    <row r="29" spans="1:13">
      <c r="A29" s="3" t="s">
        <v>40</v>
      </c>
      <c r="B29" s="6">
        <v>47</v>
      </c>
      <c r="C29" s="6">
        <v>22</v>
      </c>
      <c r="D29" s="6">
        <v>10</v>
      </c>
      <c r="E29" s="6">
        <v>50</v>
      </c>
      <c r="F29" s="6">
        <v>74</v>
      </c>
      <c r="G29" s="6">
        <v>48</v>
      </c>
      <c r="H29" s="6">
        <v>87</v>
      </c>
      <c r="I29" s="6">
        <v>27</v>
      </c>
      <c r="J29" s="6">
        <v>92</v>
      </c>
      <c r="K29" s="6">
        <v>64</v>
      </c>
      <c r="L29" s="6">
        <v>94</v>
      </c>
      <c r="M29" s="6">
        <v>66</v>
      </c>
    </row>
    <row r="30" spans="1:13">
      <c r="A30" s="4" t="s">
        <v>41</v>
      </c>
      <c r="B30" s="5">
        <v>85</v>
      </c>
      <c r="C30" s="5">
        <v>28</v>
      </c>
      <c r="D30" s="5">
        <v>22</v>
      </c>
      <c r="E30" s="5">
        <v>13</v>
      </c>
      <c r="F30" s="5">
        <v>96</v>
      </c>
      <c r="G30" s="5">
        <v>63</v>
      </c>
      <c r="H30" s="5">
        <v>9</v>
      </c>
      <c r="I30" s="5">
        <v>42</v>
      </c>
      <c r="J30" s="5">
        <v>30</v>
      </c>
      <c r="K30" s="5">
        <v>10</v>
      </c>
      <c r="L30" s="5">
        <v>30</v>
      </c>
      <c r="M30" s="5">
        <v>10</v>
      </c>
    </row>
    <row r="31" spans="1:13">
      <c r="A31" s="3" t="s">
        <v>42</v>
      </c>
      <c r="B31" s="6">
        <v>45</v>
      </c>
      <c r="C31" s="6">
        <v>44</v>
      </c>
      <c r="D31" s="6">
        <v>70</v>
      </c>
      <c r="E31" s="6">
        <v>55</v>
      </c>
      <c r="F31" s="6">
        <v>74</v>
      </c>
      <c r="G31" s="6">
        <v>65</v>
      </c>
      <c r="H31" s="6">
        <v>37</v>
      </c>
      <c r="I31" s="6">
        <v>9</v>
      </c>
      <c r="J31" s="6">
        <v>87</v>
      </c>
      <c r="K31" s="6">
        <v>29</v>
      </c>
      <c r="L31" s="6">
        <v>41</v>
      </c>
      <c r="M31" s="6">
        <v>50</v>
      </c>
    </row>
    <row r="32" spans="1:13">
      <c r="A32" s="7" t="s">
        <v>43</v>
      </c>
      <c r="B32" s="8">
        <v>11</v>
      </c>
      <c r="C32" s="8">
        <v>88</v>
      </c>
      <c r="D32" s="8">
        <v>47</v>
      </c>
      <c r="E32" s="8">
        <v>39</v>
      </c>
      <c r="F32" s="8">
        <v>20</v>
      </c>
      <c r="G32" s="8">
        <v>52</v>
      </c>
      <c r="H32" s="8">
        <v>60</v>
      </c>
      <c r="I32" s="8">
        <v>56</v>
      </c>
      <c r="J32" s="8">
        <v>100</v>
      </c>
      <c r="K32" s="8">
        <v>61</v>
      </c>
      <c r="L32" s="8">
        <v>54</v>
      </c>
      <c r="M32" s="8">
        <v>48</v>
      </c>
    </row>
    <row r="33" spans="1:13">
      <c r="A33" s="7" t="s">
        <v>44</v>
      </c>
      <c r="B33" s="8">
        <v>28</v>
      </c>
      <c r="C33" s="8">
        <v>68</v>
      </c>
      <c r="D33" s="8">
        <v>93</v>
      </c>
      <c r="E33" s="8">
        <v>68</v>
      </c>
      <c r="F33" s="8">
        <v>52</v>
      </c>
      <c r="G33" s="8">
        <v>71</v>
      </c>
      <c r="H33" s="8">
        <v>39</v>
      </c>
      <c r="I33" s="8">
        <v>15</v>
      </c>
      <c r="J33" s="8">
        <v>98</v>
      </c>
      <c r="K33" s="8">
        <v>59</v>
      </c>
      <c r="L33" s="8">
        <v>15</v>
      </c>
      <c r="M33" s="8">
        <v>60</v>
      </c>
    </row>
    <row r="34" spans="1:13">
      <c r="A34" s="7" t="s">
        <v>45</v>
      </c>
      <c r="B34" s="7" t="str">
        <f>SUM(B3:B30)</f>
        <v>sum</v>
      </c>
      <c r="C34" s="7" t="str">
        <f>SUM(C3:C30)</f>
        <v>sum</v>
      </c>
      <c r="D34" s="7" t="str">
        <f>SUM(D3:D30)</f>
        <v>sum</v>
      </c>
      <c r="E34" s="7" t="str">
        <f>SUM(E3:E30)</f>
        <v>sum</v>
      </c>
      <c r="F34" s="7" t="str">
        <f>SUM(F3:F30)</f>
        <v>sum</v>
      </c>
      <c r="G34" s="7" t="str">
        <f>SUM(G3:G30)</f>
        <v>sum</v>
      </c>
      <c r="H34" s="7" t="str">
        <f>SUM(H3:H30)</f>
        <v>sum</v>
      </c>
      <c r="I34" s="7" t="str">
        <f>SUM(I3:I30)</f>
        <v>sum</v>
      </c>
      <c r="J34" s="7" t="str">
        <f>SUM(J3:J30)</f>
        <v>sum</v>
      </c>
      <c r="K34" s="7" t="str">
        <f>SUM(K3:K30)</f>
        <v>sum</v>
      </c>
      <c r="L34" s="7" t="str">
        <f>SUM(L3:L30)</f>
        <v>sum</v>
      </c>
      <c r="M34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Finance</vt:lpstr>
      <vt:lpstr>Quality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2026-05-26T12:45:30Z</dcterms:created>
  <dcterms:modified xsi:type="dcterms:W3CDTF">2026-05-26T12:45:30Z</dcterms:modified>
</cp:coreProperties>
</file>