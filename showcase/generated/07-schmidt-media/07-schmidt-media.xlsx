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V" sheetId="1" r:id="rId1"/>
    <sheet name="Digital" sheetId="2" r:id="rId2"/>
    <sheet name="Print" sheetId="3" r:id="rId3"/>
  </sheets>
  <calcPr calcId="124519" fullCalcOnLoad="1"/>
</workbook>
</file>

<file path=xl/sharedStrings.xml><?xml version="1.0" encoding="utf-8"?>
<sst xmlns="http://schemas.openxmlformats.org/spreadsheetml/2006/main" count="177" uniqueCount="57">
  <si>
    <t>Schmidt Media - Quarterly KPIs - TV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</si>
  <si>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</si>
  <si>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</si>
  <si>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</si>
  <si>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</si>
  <si>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</si>
  <si>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</si>
  <si>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</si>
  <si>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</si>
  <si>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</si>
  <si>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</si>
  <si>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</si>
  <si>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</si>
  <si>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</si>
  <si>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Reach</t>
  </si>
  <si>
    <t>Share</t>
  </si>
  <si>
    <t>Revenue</t>
  </si>
  <si>
    <t>Costs</t>
  </si>
  <si>
    <t xml:space="preserve">  Item 1</t>
  </si>
  <si>
    <t xml:space="preserve">  Item 2</t>
  </si>
  <si>
    <t xml:space="preserve">  Item 3</t>
  </si>
  <si>
    <t xml:space="preserve">  Item 4</t>
  </si>
  <si>
    <t xml:space="preserve">  Item 5</t>
  </si>
  <si>
    <t xml:space="preserve">  Item 6</t>
  </si>
  <si>
    <t xml:space="preserve">  Item 7</t>
  </si>
  <si>
    <t xml:space="preserve">  Item 8</t>
  </si>
  <si>
    <t xml:space="preserve">  Item 9</t>
  </si>
  <si>
    <t xml:space="preserve">  Item 10</t>
  </si>
  <si>
    <t xml:space="preserve">  Item 11</t>
  </si>
  <si>
    <t xml:space="preserve">  Item 12</t>
  </si>
  <si>
    <t xml:space="preserve">  Item 13</t>
  </si>
  <si>
    <t xml:space="preserve">  Item 14</t>
  </si>
  <si>
    <t xml:space="preserve">  Item 15</t>
  </si>
  <si>
    <t xml:space="preserve">  Item 16</t>
  </si>
  <si>
    <t xml:space="preserve">  Item 17</t>
  </si>
  <si>
    <t xml:space="preserve">  Item 18</t>
  </si>
  <si>
    <t xml:space="preserve">  Item 19</t>
  </si>
  <si>
    <t xml:space="preserve">  Item 20</t>
  </si>
  <si>
    <t xml:space="preserve">  Item 21</t>
  </si>
  <si>
    <t xml:space="preserve">  Item 22</t>
  </si>
  <si>
    <t xml:space="preserve">  Item 23</t>
  </si>
  <si>
    <t xml:space="preserve">  Item 24</t>
  </si>
  <si>
    <t xml:space="preserve">  Item 25</t>
  </si>
  <si>
    <t xml:space="preserve">  Item 26</t>
  </si>
  <si>
    <t xml:space="preserve">  Item 27</t>
  </si>
  <si>
    <t xml:space="preserve">  Item 28</t>
  </si>
  <si>
    <t>TOTAL</t>
  </si>
  <si>
    <t>Schmidt Media - Quarterly KPIs - Digital</t>
  </si>
  <si>
    <t>Impressions</t>
  </si>
  <si>
    <t>Conversion</t>
  </si>
  <si>
    <t>Display</t>
  </si>
  <si>
    <t>Social</t>
  </si>
  <si>
    <t>Schmidt Media - Quarterly KPIs - Print</t>
  </si>
  <si>
    <t>Circulation</t>
  </si>
  <si>
    <t>Ads</t>
  </si>
  <si>
    <t>Subs</t>
  </si>
  <si>
    <t>Special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</si>
</sst>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6"/>
      <color rgb="FF1B5E20"/>
      <name val="Calibri"/>
      <family val="2"/>
      <scheme val="minor"/>
    </font>
    <font>
      <b/>
      <sz val="11"/>
      <color rgb="FF1B5E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E6C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37.7109375" customWidth="1"/>
    <col min="2" max="13" width="1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14</v>
      </c>
      <c r="B3" s="3">
        <f>61</f>
        <v>61</v>
      </c>
      <c r="C3" s="3">
        <f>337</f>
        <v>337</v>
      </c>
      <c r="D3" s="3">
        <f>441</f>
        <v>441</v>
      </c>
      <c r="E3" s="3">
        <f>393</f>
        <v>393</v>
      </c>
      <c r="F3" s="3">
        <f>283</f>
        <v>283</v>
      </c>
      <c r="G3" s="3">
        <f>392</f>
        <v>392</v>
      </c>
      <c r="H3" s="3">
        <f>345</f>
        <v>345</v>
      </c>
      <c r="I3" s="3">
        <f>119</f>
        <v>119</v>
      </c>
      <c r="J3" s="3">
        <f>230</f>
        <v>230</v>
      </c>
      <c r="K3" s="3">
        <f>434</f>
        <v>434</v>
      </c>
      <c r="L3" s="3">
        <f>85</f>
        <v>85</v>
      </c>
      <c r="M3" s="3">
        <f>167</f>
        <v>167</v>
      </c>
    </row>
    <row r="4" spans="1:13">
      <c r="A4" s="4" t="s">
        <v>15</v>
      </c>
      <c r="B4" s="4">
        <f>120</f>
        <v>120</v>
      </c>
      <c r="C4" s="4">
        <f>295</f>
        <v>295</v>
      </c>
      <c r="D4" s="4">
        <f>86</f>
        <v>86</v>
      </c>
      <c r="E4" s="4">
        <f>391</f>
        <v>391</v>
      </c>
      <c r="F4" s="4">
        <f>356</f>
        <v>356</v>
      </c>
      <c r="G4" s="4">
        <f>213</f>
        <v>213</v>
      </c>
      <c r="H4" s="4">
        <f>428</f>
        <v>428</v>
      </c>
      <c r="I4" s="4">
        <f>360</f>
        <v>360</v>
      </c>
      <c r="J4" s="4">
        <f>70</f>
        <v>70</v>
      </c>
      <c r="K4" s="4">
        <f>70</f>
        <v>70</v>
      </c>
      <c r="L4" s="4">
        <f>222</f>
        <v>222</v>
      </c>
      <c r="M4" s="4">
        <f>370</f>
        <v>370</v>
      </c>
    </row>
    <row r="5" spans="1:13">
      <c r="A5" s="3" t="s">
        <v>16</v>
      </c>
      <c r="B5" s="3">
        <f>118</f>
        <v>118</v>
      </c>
      <c r="C5" s="3">
        <f>399</f>
        <v>399</v>
      </c>
      <c r="D5" s="3">
        <f>314</f>
        <v>314</v>
      </c>
      <c r="E5" s="3">
        <f>445</f>
        <v>445</v>
      </c>
      <c r="F5" s="3">
        <f>94</f>
        <v>94</v>
      </c>
      <c r="G5" s="3">
        <f>104</f>
        <v>104</v>
      </c>
      <c r="H5" s="3">
        <f>289</f>
        <v>289</v>
      </c>
      <c r="I5" s="3">
        <f>159</f>
        <v>159</v>
      </c>
      <c r="J5" s="3">
        <f>202</f>
        <v>202</v>
      </c>
      <c r="K5" s="3">
        <f>325</f>
        <v>325</v>
      </c>
      <c r="L5" s="3">
        <f>443</f>
        <v>443</v>
      </c>
      <c r="M5" s="3">
        <f>370</f>
        <v>370</v>
      </c>
    </row>
    <row r="6" spans="1:13">
      <c r="A6" s="4" t="s">
        <v>17</v>
      </c>
      <c r="B6" s="4">
        <f>427</f>
        <v>427</v>
      </c>
      <c r="C6" s="4">
        <f>217</f>
        <v>217</v>
      </c>
      <c r="D6" s="4">
        <f>452</f>
        <v>452</v>
      </c>
      <c r="E6" s="4">
        <f>496</f>
        <v>496</v>
      </c>
      <c r="F6" s="4">
        <f>264</f>
        <v>264</v>
      </c>
      <c r="G6" s="4">
        <f>415</f>
        <v>415</v>
      </c>
      <c r="H6" s="4">
        <f>138</f>
        <v>138</v>
      </c>
      <c r="I6" s="4">
        <f>50</f>
        <v>50</v>
      </c>
      <c r="J6" s="4">
        <f>392</f>
        <v>392</v>
      </c>
      <c r="K6" s="4">
        <f>233</f>
        <v>233</v>
      </c>
      <c r="L6" s="4">
        <f>223</f>
        <v>223</v>
      </c>
      <c r="M6" s="4">
        <f>410</f>
        <v>410</v>
      </c>
    </row>
    <row r="7" spans="1:13">
      <c r="A7" s="3" t="s">
        <v>18</v>
      </c>
      <c r="B7" s="5">
        <v>22</v>
      </c>
      <c r="C7" s="5">
        <v>37</v>
      </c>
      <c r="D7" s="5">
        <v>10</v>
      </c>
      <c r="E7" s="5">
        <v>67</v>
      </c>
      <c r="F7" s="5">
        <v>95</v>
      </c>
      <c r="G7" s="5">
        <v>61</v>
      </c>
      <c r="H7" s="5">
        <v>76</v>
      </c>
      <c r="I7" s="5">
        <v>42</v>
      </c>
      <c r="J7" s="5">
        <v>74</v>
      </c>
      <c r="K7" s="5">
        <v>94</v>
      </c>
      <c r="L7" s="5">
        <v>67</v>
      </c>
      <c r="M7" s="5">
        <v>29</v>
      </c>
    </row>
    <row r="8" spans="1:13">
      <c r="A8" s="4" t="s">
        <v>19</v>
      </c>
      <c r="B8" s="6">
        <v>77</v>
      </c>
      <c r="C8" s="6">
        <v>28</v>
      </c>
      <c r="D8" s="6">
        <v>74</v>
      </c>
      <c r="E8" s="6">
        <v>49</v>
      </c>
      <c r="F8" s="6">
        <v>46</v>
      </c>
      <c r="G8" s="6">
        <v>98</v>
      </c>
      <c r="H8" s="6">
        <v>64</v>
      </c>
      <c r="I8" s="6">
        <v>40</v>
      </c>
      <c r="J8" s="6">
        <v>81</v>
      </c>
      <c r="K8" s="6">
        <v>75</v>
      </c>
      <c r="L8" s="6">
        <v>25</v>
      </c>
      <c r="M8" s="6">
        <v>13</v>
      </c>
    </row>
    <row r="9" spans="1:13">
      <c r="A9" s="3" t="s">
        <v>20</v>
      </c>
      <c r="B9" s="5">
        <v>72</v>
      </c>
      <c r="C9" s="5">
        <v>24</v>
      </c>
      <c r="D9" s="5">
        <v>62</v>
      </c>
      <c r="E9" s="5">
        <v>42</v>
      </c>
      <c r="F9" s="5">
        <v>38</v>
      </c>
      <c r="G9" s="5">
        <v>74</v>
      </c>
      <c r="H9" s="5">
        <v>51</v>
      </c>
      <c r="I9" s="5">
        <v>63</v>
      </c>
      <c r="J9" s="5">
        <v>5</v>
      </c>
      <c r="K9" s="5">
        <v>86</v>
      </c>
      <c r="L9" s="5">
        <v>69</v>
      </c>
      <c r="M9" s="5">
        <v>53</v>
      </c>
    </row>
    <row r="10" spans="1:13">
      <c r="A10" s="4" t="s">
        <v>21</v>
      </c>
      <c r="B10" s="6">
        <v>98</v>
      </c>
      <c r="C10" s="6">
        <v>28</v>
      </c>
      <c r="D10" s="6">
        <v>7</v>
      </c>
      <c r="E10" s="6">
        <v>84</v>
      </c>
      <c r="F10" s="6">
        <v>51</v>
      </c>
      <c r="G10" s="6">
        <v>84</v>
      </c>
      <c r="H10" s="6">
        <v>35</v>
      </c>
      <c r="I10" s="6">
        <v>46</v>
      </c>
      <c r="J10" s="6">
        <v>97</v>
      </c>
      <c r="K10" s="6">
        <v>13</v>
      </c>
      <c r="L10" s="6">
        <v>89</v>
      </c>
      <c r="M10" s="6">
        <v>73</v>
      </c>
    </row>
    <row r="11" spans="1:13">
      <c r="A11" s="3" t="s">
        <v>22</v>
      </c>
      <c r="B11" s="5">
        <v>54</v>
      </c>
      <c r="C11" s="5">
        <v>29</v>
      </c>
      <c r="D11" s="5">
        <v>72</v>
      </c>
      <c r="E11" s="5">
        <v>92</v>
      </c>
      <c r="F11" s="5">
        <v>68</v>
      </c>
      <c r="G11" s="5">
        <v>75</v>
      </c>
      <c r="H11" s="5">
        <v>24</v>
      </c>
      <c r="I11" s="5">
        <v>83</v>
      </c>
      <c r="J11" s="5">
        <v>41</v>
      </c>
      <c r="K11" s="5">
        <v>46</v>
      </c>
      <c r="L11" s="5">
        <v>57</v>
      </c>
      <c r="M11" s="5">
        <v>87</v>
      </c>
    </row>
    <row r="12" spans="1:13">
      <c r="A12" s="4" t="s">
        <v>23</v>
      </c>
      <c r="B12" s="6">
        <v>46</v>
      </c>
      <c r="C12" s="6">
        <v>19</v>
      </c>
      <c r="D12" s="6">
        <v>17</v>
      </c>
      <c r="E12" s="6">
        <v>71</v>
      </c>
      <c r="F12" s="6">
        <v>89</v>
      </c>
      <c r="G12" s="6">
        <v>13</v>
      </c>
      <c r="H12" s="6">
        <v>10</v>
      </c>
      <c r="I12" s="6">
        <v>21</v>
      </c>
      <c r="J12" s="6">
        <v>27</v>
      </c>
      <c r="K12" s="6">
        <v>9</v>
      </c>
      <c r="L12" s="6">
        <v>30</v>
      </c>
      <c r="M12" s="6">
        <v>18</v>
      </c>
    </row>
    <row r="13" spans="1:13">
      <c r="A13" s="3" t="s">
        <v>24</v>
      </c>
      <c r="B13" s="5">
        <v>67</v>
      </c>
      <c r="C13" s="5">
        <v>29</v>
      </c>
      <c r="D13" s="5">
        <v>17</v>
      </c>
      <c r="E13" s="5">
        <v>9</v>
      </c>
      <c r="F13" s="5">
        <v>78</v>
      </c>
      <c r="G13" s="5">
        <v>87</v>
      </c>
      <c r="H13" s="5">
        <v>54</v>
      </c>
      <c r="I13" s="5">
        <v>89</v>
      </c>
      <c r="J13" s="5">
        <v>67</v>
      </c>
      <c r="K13" s="5">
        <v>72</v>
      </c>
      <c r="L13" s="5">
        <v>84</v>
      </c>
      <c r="M13" s="5">
        <v>94</v>
      </c>
    </row>
    <row r="14" spans="1:13">
      <c r="A14" s="4" t="s">
        <v>25</v>
      </c>
      <c r="B14" s="6">
        <v>80</v>
      </c>
      <c r="C14" s="6">
        <v>37</v>
      </c>
      <c r="D14" s="6">
        <v>11</v>
      </c>
      <c r="E14" s="6">
        <v>51</v>
      </c>
      <c r="F14" s="6">
        <v>33</v>
      </c>
      <c r="G14" s="6">
        <v>82</v>
      </c>
      <c r="H14" s="6">
        <v>96</v>
      </c>
      <c r="I14" s="6">
        <v>14</v>
      </c>
      <c r="J14" s="6">
        <v>6</v>
      </c>
      <c r="K14" s="6">
        <v>31</v>
      </c>
      <c r="L14" s="6">
        <v>88</v>
      </c>
      <c r="M14" s="6">
        <v>67</v>
      </c>
    </row>
    <row r="15" spans="1:13">
      <c r="A15" s="3" t="s">
        <v>26</v>
      </c>
      <c r="B15" s="5">
        <v>15</v>
      </c>
      <c r="C15" s="5">
        <v>64</v>
      </c>
      <c r="D15" s="5">
        <v>86</v>
      </c>
      <c r="E15" s="5">
        <v>12</v>
      </c>
      <c r="F15" s="5">
        <v>51</v>
      </c>
      <c r="G15" s="5">
        <v>76</v>
      </c>
      <c r="H15" s="5">
        <v>100</v>
      </c>
      <c r="I15" s="5">
        <v>58</v>
      </c>
      <c r="J15" s="5">
        <v>52</v>
      </c>
      <c r="K15" s="5">
        <v>95</v>
      </c>
      <c r="L15" s="5">
        <v>12</v>
      </c>
      <c r="M15" s="5">
        <v>83</v>
      </c>
    </row>
    <row r="16" spans="1:13">
      <c r="A16" s="4" t="s">
        <v>27</v>
      </c>
      <c r="B16" s="6">
        <v>39</v>
      </c>
      <c r="C16" s="6">
        <v>72</v>
      </c>
      <c r="D16" s="6">
        <v>10</v>
      </c>
      <c r="E16" s="6">
        <v>98</v>
      </c>
      <c r="F16" s="6">
        <v>14</v>
      </c>
      <c r="G16" s="6">
        <v>43</v>
      </c>
      <c r="H16" s="6">
        <v>14</v>
      </c>
      <c r="I16" s="6">
        <v>32</v>
      </c>
      <c r="J16" s="6">
        <v>71</v>
      </c>
      <c r="K16" s="6">
        <v>17</v>
      </c>
      <c r="L16" s="6">
        <v>17</v>
      </c>
      <c r="M16" s="6">
        <v>97</v>
      </c>
    </row>
    <row r="17" spans="1:13">
      <c r="A17" s="3" t="s">
        <v>28</v>
      </c>
      <c r="B17" s="5">
        <v>34</v>
      </c>
      <c r="C17" s="5">
        <v>73</v>
      </c>
      <c r="D17" s="5">
        <v>54</v>
      </c>
      <c r="E17" s="5">
        <v>29</v>
      </c>
      <c r="F17" s="5">
        <v>29</v>
      </c>
      <c r="G17" s="5">
        <v>72</v>
      </c>
      <c r="H17" s="5">
        <v>89</v>
      </c>
      <c r="I17" s="5">
        <v>36</v>
      </c>
      <c r="J17" s="5">
        <v>77</v>
      </c>
      <c r="K17" s="5">
        <v>85</v>
      </c>
      <c r="L17" s="5">
        <v>27</v>
      </c>
      <c r="M17" s="5">
        <v>76</v>
      </c>
    </row>
    <row r="18" spans="1:13">
      <c r="A18" s="4" t="s">
        <v>29</v>
      </c>
      <c r="B18" s="6">
        <v>100</v>
      </c>
      <c r="C18" s="6">
        <v>76</v>
      </c>
      <c r="D18" s="6">
        <v>58</v>
      </c>
      <c r="E18" s="6">
        <v>100</v>
      </c>
      <c r="F18" s="6">
        <v>18</v>
      </c>
      <c r="G18" s="6">
        <v>86</v>
      </c>
      <c r="H18" s="6">
        <v>78</v>
      </c>
      <c r="I18" s="6">
        <v>50</v>
      </c>
      <c r="J18" s="6">
        <v>91</v>
      </c>
      <c r="K18" s="6">
        <v>63</v>
      </c>
      <c r="L18" s="6">
        <v>94</v>
      </c>
      <c r="M18" s="6">
        <v>90</v>
      </c>
    </row>
    <row r="19" spans="1:13">
      <c r="A19" s="3" t="s">
        <v>30</v>
      </c>
      <c r="B19" s="5">
        <v>59</v>
      </c>
      <c r="C19" s="5">
        <v>18</v>
      </c>
      <c r="D19" s="5">
        <v>26</v>
      </c>
      <c r="E19" s="5">
        <v>28</v>
      </c>
      <c r="F19" s="5">
        <v>75</v>
      </c>
      <c r="G19" s="5">
        <v>56</v>
      </c>
      <c r="H19" s="5">
        <v>69</v>
      </c>
      <c r="I19" s="5">
        <v>48</v>
      </c>
      <c r="J19" s="5">
        <v>89</v>
      </c>
      <c r="K19" s="5">
        <v>25</v>
      </c>
      <c r="L19" s="5">
        <v>73</v>
      </c>
      <c r="M19" s="5">
        <v>81</v>
      </c>
    </row>
    <row r="20" spans="1:13">
      <c r="A20" s="4" t="s">
        <v>31</v>
      </c>
      <c r="B20" s="6">
        <v>61</v>
      </c>
      <c r="C20" s="6">
        <v>50</v>
      </c>
      <c r="D20" s="6">
        <v>45</v>
      </c>
      <c r="E20" s="6">
        <v>75</v>
      </c>
      <c r="F20" s="6">
        <v>46</v>
      </c>
      <c r="G20" s="6">
        <v>52</v>
      </c>
      <c r="H20" s="6">
        <v>57</v>
      </c>
      <c r="I20" s="6">
        <v>86</v>
      </c>
      <c r="J20" s="6">
        <v>60</v>
      </c>
      <c r="K20" s="6">
        <v>97</v>
      </c>
      <c r="L20" s="6">
        <v>46</v>
      </c>
      <c r="M20" s="6">
        <v>82</v>
      </c>
    </row>
    <row r="21" spans="1:13">
      <c r="A21" s="3" t="s">
        <v>32</v>
      </c>
      <c r="B21" s="5">
        <v>35</v>
      </c>
      <c r="C21" s="5">
        <v>77</v>
      </c>
      <c r="D21" s="5">
        <v>74</v>
      </c>
      <c r="E21" s="5">
        <v>32</v>
      </c>
      <c r="F21" s="5">
        <v>53</v>
      </c>
      <c r="G21" s="5">
        <v>75</v>
      </c>
      <c r="H21" s="5">
        <v>100</v>
      </c>
      <c r="I21" s="5">
        <v>37</v>
      </c>
      <c r="J21" s="5">
        <v>51</v>
      </c>
      <c r="K21" s="5">
        <v>62</v>
      </c>
      <c r="L21" s="5">
        <v>62</v>
      </c>
      <c r="M21" s="5">
        <v>55</v>
      </c>
    </row>
    <row r="22" spans="1:13">
      <c r="A22" s="4" t="s">
        <v>33</v>
      </c>
      <c r="B22" s="6">
        <v>5</v>
      </c>
      <c r="C22" s="6">
        <v>97</v>
      </c>
      <c r="D22" s="6">
        <v>9</v>
      </c>
      <c r="E22" s="6">
        <v>41</v>
      </c>
      <c r="F22" s="6">
        <v>81</v>
      </c>
      <c r="G22" s="6">
        <v>7</v>
      </c>
      <c r="H22" s="6">
        <v>71</v>
      </c>
      <c r="I22" s="6">
        <v>22</v>
      </c>
      <c r="J22" s="6">
        <v>43</v>
      </c>
      <c r="K22" s="6">
        <v>5</v>
      </c>
      <c r="L22" s="6">
        <v>43</v>
      </c>
      <c r="M22" s="6">
        <v>33</v>
      </c>
    </row>
    <row r="23" spans="1:13">
      <c r="A23" s="3" t="s">
        <v>34</v>
      </c>
      <c r="B23" s="5">
        <v>32</v>
      </c>
      <c r="C23" s="5">
        <v>45</v>
      </c>
      <c r="D23" s="5">
        <v>7</v>
      </c>
      <c r="E23" s="5">
        <v>93</v>
      </c>
      <c r="F23" s="5">
        <v>40</v>
      </c>
      <c r="G23" s="5">
        <v>75</v>
      </c>
      <c r="H23" s="5">
        <v>70</v>
      </c>
      <c r="I23" s="5">
        <v>76</v>
      </c>
      <c r="J23" s="5">
        <v>78</v>
      </c>
      <c r="K23" s="5">
        <v>78</v>
      </c>
      <c r="L23" s="5">
        <v>24</v>
      </c>
      <c r="M23" s="5">
        <v>17</v>
      </c>
    </row>
    <row r="24" spans="1:13">
      <c r="A24" s="4" t="s">
        <v>35</v>
      </c>
      <c r="B24" s="6">
        <v>9</v>
      </c>
      <c r="C24" s="6">
        <v>63</v>
      </c>
      <c r="D24" s="6">
        <v>50</v>
      </c>
      <c r="E24" s="6">
        <v>24</v>
      </c>
      <c r="F24" s="6">
        <v>22</v>
      </c>
      <c r="G24" s="6">
        <v>38</v>
      </c>
      <c r="H24" s="6">
        <v>51</v>
      </c>
      <c r="I24" s="6">
        <v>79</v>
      </c>
      <c r="J24" s="6">
        <v>36</v>
      </c>
      <c r="K24" s="6">
        <v>34</v>
      </c>
      <c r="L24" s="6">
        <v>37</v>
      </c>
      <c r="M24" s="6">
        <v>43</v>
      </c>
    </row>
    <row r="25" spans="1:13">
      <c r="A25" s="3" t="s">
        <v>36</v>
      </c>
      <c r="B25" s="5">
        <v>16</v>
      </c>
      <c r="C25" s="5">
        <v>78</v>
      </c>
      <c r="D25" s="5">
        <v>56</v>
      </c>
      <c r="E25" s="5">
        <v>77</v>
      </c>
      <c r="F25" s="5">
        <v>32</v>
      </c>
      <c r="G25" s="5">
        <v>98</v>
      </c>
      <c r="H25" s="5">
        <v>14</v>
      </c>
      <c r="I25" s="5">
        <v>97</v>
      </c>
      <c r="J25" s="5">
        <v>46</v>
      </c>
      <c r="K25" s="5">
        <v>66</v>
      </c>
      <c r="L25" s="5">
        <v>27</v>
      </c>
      <c r="M25" s="5">
        <v>67</v>
      </c>
    </row>
    <row r="26" spans="1:13">
      <c r="A26" s="4" t="s">
        <v>37</v>
      </c>
      <c r="B26" s="6">
        <v>93</v>
      </c>
      <c r="C26" s="6">
        <v>94</v>
      </c>
      <c r="D26" s="6">
        <v>78</v>
      </c>
      <c r="E26" s="6">
        <v>17</v>
      </c>
      <c r="F26" s="6">
        <v>81</v>
      </c>
      <c r="G26" s="6">
        <v>87</v>
      </c>
      <c r="H26" s="6">
        <v>43</v>
      </c>
      <c r="I26" s="6">
        <v>9</v>
      </c>
      <c r="J26" s="6">
        <v>98</v>
      </c>
      <c r="K26" s="6">
        <v>78</v>
      </c>
      <c r="L26" s="6">
        <v>53</v>
      </c>
      <c r="M26" s="6">
        <v>15</v>
      </c>
    </row>
    <row r="27" spans="1:13">
      <c r="A27" s="3" t="s">
        <v>38</v>
      </c>
      <c r="B27" s="5">
        <v>12</v>
      </c>
      <c r="C27" s="5">
        <v>47</v>
      </c>
      <c r="D27" s="5">
        <v>49</v>
      </c>
      <c r="E27" s="5">
        <v>60</v>
      </c>
      <c r="F27" s="5">
        <v>58</v>
      </c>
      <c r="G27" s="5">
        <v>20</v>
      </c>
      <c r="H27" s="5">
        <v>34</v>
      </c>
      <c r="I27" s="5">
        <v>100</v>
      </c>
      <c r="J27" s="5">
        <v>88</v>
      </c>
      <c r="K27" s="5">
        <v>82</v>
      </c>
      <c r="L27" s="5">
        <v>6</v>
      </c>
      <c r="M27" s="5">
        <v>86</v>
      </c>
    </row>
    <row r="28" spans="1:13">
      <c r="A28" s="4" t="s">
        <v>39</v>
      </c>
      <c r="B28" s="6">
        <v>85</v>
      </c>
      <c r="C28" s="6">
        <v>53</v>
      </c>
      <c r="D28" s="6">
        <v>11</v>
      </c>
      <c r="E28" s="6">
        <v>44</v>
      </c>
      <c r="F28" s="6">
        <v>72</v>
      </c>
      <c r="G28" s="6">
        <v>10</v>
      </c>
      <c r="H28" s="6">
        <v>45</v>
      </c>
      <c r="I28" s="6">
        <v>74</v>
      </c>
      <c r="J28" s="6">
        <v>77</v>
      </c>
      <c r="K28" s="6">
        <v>24</v>
      </c>
      <c r="L28" s="6">
        <v>46</v>
      </c>
      <c r="M28" s="6">
        <v>69</v>
      </c>
    </row>
    <row r="29" spans="1:13">
      <c r="A29" s="3" t="s">
        <v>40</v>
      </c>
      <c r="B29" s="5">
        <v>94</v>
      </c>
      <c r="C29" s="5">
        <v>33</v>
      </c>
      <c r="D29" s="5">
        <v>24</v>
      </c>
      <c r="E29" s="5">
        <v>11</v>
      </c>
      <c r="F29" s="5">
        <v>91</v>
      </c>
      <c r="G29" s="5">
        <v>98</v>
      </c>
      <c r="H29" s="5">
        <v>55</v>
      </c>
      <c r="I29" s="5">
        <v>62</v>
      </c>
      <c r="J29" s="5">
        <v>81</v>
      </c>
      <c r="K29" s="5">
        <v>78</v>
      </c>
      <c r="L29" s="5">
        <v>69</v>
      </c>
      <c r="M29" s="5">
        <v>16</v>
      </c>
    </row>
    <row r="30" spans="1:13">
      <c r="A30" s="4" t="s">
        <v>41</v>
      </c>
      <c r="B30" s="6">
        <v>33</v>
      </c>
      <c r="C30" s="6">
        <v>60</v>
      </c>
      <c r="D30" s="6">
        <v>42</v>
      </c>
      <c r="E30" s="6">
        <v>55</v>
      </c>
      <c r="F30" s="6">
        <v>23</v>
      </c>
      <c r="G30" s="6">
        <v>21</v>
      </c>
      <c r="H30" s="6">
        <v>48</v>
      </c>
      <c r="I30" s="6">
        <v>15</v>
      </c>
      <c r="J30" s="6">
        <v>65</v>
      </c>
      <c r="K30" s="6">
        <v>78</v>
      </c>
      <c r="L30" s="6">
        <v>100</v>
      </c>
      <c r="M30" s="6">
        <v>11</v>
      </c>
    </row>
    <row r="31" spans="1:13">
      <c r="A31" s="3" t="s">
        <v>42</v>
      </c>
      <c r="B31" s="5">
        <v>75</v>
      </c>
      <c r="C31" s="5">
        <v>56</v>
      </c>
      <c r="D31" s="5">
        <v>38</v>
      </c>
      <c r="E31" s="5">
        <v>15</v>
      </c>
      <c r="F31" s="5">
        <v>56</v>
      </c>
      <c r="G31" s="5">
        <v>69</v>
      </c>
      <c r="H31" s="5">
        <v>60</v>
      </c>
      <c r="I31" s="5">
        <v>94</v>
      </c>
      <c r="J31" s="5">
        <v>21</v>
      </c>
      <c r="K31" s="5">
        <v>22</v>
      </c>
      <c r="L31" s="5">
        <v>66</v>
      </c>
      <c r="M31" s="5">
        <v>76</v>
      </c>
    </row>
    <row r="32" spans="1:13">
      <c r="A32" s="7" t="s">
        <v>43</v>
      </c>
      <c r="B32" s="8">
        <v>30</v>
      </c>
      <c r="C32" s="8">
        <v>67</v>
      </c>
      <c r="D32" s="8">
        <v>55</v>
      </c>
      <c r="E32" s="8">
        <v>88</v>
      </c>
      <c r="F32" s="8">
        <v>78</v>
      </c>
      <c r="G32" s="8">
        <v>30</v>
      </c>
      <c r="H32" s="8">
        <v>76</v>
      </c>
      <c r="I32" s="8">
        <v>83</v>
      </c>
      <c r="J32" s="8">
        <v>99</v>
      </c>
      <c r="K32" s="8">
        <v>72</v>
      </c>
      <c r="L32" s="8">
        <v>36</v>
      </c>
      <c r="M32" s="8">
        <v>36</v>
      </c>
    </row>
    <row r="33" spans="1:13">
      <c r="A33" s="7" t="s">
        <v>44</v>
      </c>
      <c r="B33" s="8">
        <v>14</v>
      </c>
      <c r="C33" s="8">
        <v>39</v>
      </c>
      <c r="D33" s="8">
        <v>60</v>
      </c>
      <c r="E33" s="8">
        <v>46</v>
      </c>
      <c r="F33" s="8">
        <v>92</v>
      </c>
      <c r="G33" s="8">
        <v>78</v>
      </c>
      <c r="H33" s="8">
        <v>16</v>
      </c>
      <c r="I33" s="8">
        <v>19</v>
      </c>
      <c r="J33" s="8">
        <v>90</v>
      </c>
      <c r="K33" s="8">
        <v>57</v>
      </c>
      <c r="L33" s="8">
        <v>59</v>
      </c>
      <c r="M33" s="8">
        <v>51</v>
      </c>
    </row>
    <row r="34" spans="1:13">
      <c r="A34" s="7" t="s">
        <v>45</v>
      </c>
      <c r="B34" s="8">
        <v>49</v>
      </c>
      <c r="C34" s="8">
        <v>29</v>
      </c>
      <c r="D34" s="8">
        <v>46</v>
      </c>
      <c r="E34" s="8">
        <v>49</v>
      </c>
      <c r="F34" s="8">
        <v>81</v>
      </c>
      <c r="G34" s="8">
        <v>88</v>
      </c>
      <c r="H34" s="8">
        <v>8</v>
      </c>
      <c r="I34" s="8">
        <v>44</v>
      </c>
      <c r="J34" s="8">
        <v>26</v>
      </c>
      <c r="K34" s="8">
        <v>49</v>
      </c>
      <c r="L34" s="8">
        <v>83</v>
      </c>
      <c r="M34" s="8">
        <v>61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2.7109375" customWidth="1"/>
    <col min="2" max="13" width="19.7109375" customWidth="1"/>
  </cols>
  <sheetData>
    <row r="1" spans="1:13">
      <c r="A1" s="1" t="s">
        <v>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48</v>
      </c>
      <c r="B3" s="3">
        <f>359</f>
        <v>359</v>
      </c>
      <c r="C3" s="3">
        <f>114</f>
        <v>114</v>
      </c>
      <c r="D3" s="3">
        <f>265</f>
        <v>265</v>
      </c>
      <c r="E3" s="3">
        <f>62</f>
        <v>62</v>
      </c>
      <c r="F3" s="3">
        <f>458</f>
        <v>458</v>
      </c>
      <c r="G3" s="3">
        <f>159</f>
        <v>159</v>
      </c>
      <c r="H3" s="3">
        <f>142</f>
        <v>142</v>
      </c>
      <c r="I3" s="3">
        <f>390</f>
        <v>390</v>
      </c>
      <c r="J3" s="3">
        <f>231</f>
        <v>231</v>
      </c>
      <c r="K3" s="3">
        <f>119</f>
        <v>119</v>
      </c>
      <c r="L3" s="3">
        <f>427</f>
        <v>427</v>
      </c>
      <c r="M3" s="3">
        <f>412</f>
        <v>412</v>
      </c>
    </row>
    <row r="4" spans="1:13">
      <c r="A4" s="4" t="s">
        <v>49</v>
      </c>
      <c r="B4" s="4">
        <f>476</f>
        <v>476</v>
      </c>
      <c r="C4" s="4">
        <f>83</f>
        <v>83</v>
      </c>
      <c r="D4" s="4">
        <f>97</f>
        <v>97</v>
      </c>
      <c r="E4" s="4">
        <f>418</f>
        <v>418</v>
      </c>
      <c r="F4" s="4">
        <f>67</f>
        <v>67</v>
      </c>
      <c r="G4" s="4">
        <f>164</f>
        <v>164</v>
      </c>
      <c r="H4" s="4">
        <f>357</f>
        <v>357</v>
      </c>
      <c r="I4" s="4">
        <f>115</f>
        <v>115</v>
      </c>
      <c r="J4" s="4">
        <f>484</f>
        <v>484</v>
      </c>
      <c r="K4" s="4">
        <f>466</f>
        <v>466</v>
      </c>
      <c r="L4" s="4">
        <f>459</f>
        <v>459</v>
      </c>
      <c r="M4" s="4">
        <f>187</f>
        <v>187</v>
      </c>
    </row>
    <row r="5" spans="1:13">
      <c r="A5" s="3" t="s">
        <v>50</v>
      </c>
      <c r="B5" s="3">
        <f>47</f>
        <v>47</v>
      </c>
      <c r="C5" s="3">
        <f>215</f>
        <v>215</v>
      </c>
      <c r="D5" s="3">
        <f>395</f>
        <v>395</v>
      </c>
      <c r="E5" s="3">
        <f>451</f>
        <v>451</v>
      </c>
      <c r="F5" s="3">
        <f>96</f>
        <v>96</v>
      </c>
      <c r="G5" s="3">
        <f>196</f>
        <v>196</v>
      </c>
      <c r="H5" s="3">
        <f>270</f>
        <v>270</v>
      </c>
      <c r="I5" s="3">
        <f>281</f>
        <v>281</v>
      </c>
      <c r="J5" s="3">
        <f>51</f>
        <v>51</v>
      </c>
      <c r="K5" s="3">
        <f>209</f>
        <v>209</v>
      </c>
      <c r="L5" s="3">
        <f>147</f>
        <v>147</v>
      </c>
      <c r="M5" s="3">
        <f>418</f>
        <v>418</v>
      </c>
    </row>
    <row r="6" spans="1:13">
      <c r="A6" s="4" t="s">
        <v>51</v>
      </c>
      <c r="B6" s="4">
        <f>315</f>
        <v>315</v>
      </c>
      <c r="C6" s="4">
        <f>148</f>
        <v>148</v>
      </c>
      <c r="D6" s="4">
        <f>144</f>
        <v>144</v>
      </c>
      <c r="E6" s="4">
        <f>319</f>
        <v>319</v>
      </c>
      <c r="F6" s="4">
        <f>307</f>
        <v>307</v>
      </c>
      <c r="G6" s="4">
        <f>424</f>
        <v>424</v>
      </c>
      <c r="H6" s="4">
        <f>172</f>
        <v>172</v>
      </c>
      <c r="I6" s="4">
        <f>320</f>
        <v>320</v>
      </c>
      <c r="J6" s="4">
        <f>287</f>
        <v>287</v>
      </c>
      <c r="K6" s="4">
        <f>358</f>
        <v>358</v>
      </c>
      <c r="L6" s="4">
        <f>413</f>
        <v>413</v>
      </c>
      <c r="M6" s="4">
        <f>112</f>
        <v>112</v>
      </c>
    </row>
    <row r="7" spans="1:13">
      <c r="A7" s="3" t="s">
        <v>18</v>
      </c>
      <c r="B7" s="5">
        <v>93</v>
      </c>
      <c r="C7" s="5">
        <v>94</v>
      </c>
      <c r="D7" s="5">
        <v>90</v>
      </c>
      <c r="E7" s="5">
        <v>7</v>
      </c>
      <c r="F7" s="5">
        <v>53</v>
      </c>
      <c r="G7" s="5">
        <v>79</v>
      </c>
      <c r="H7" s="5">
        <v>89</v>
      </c>
      <c r="I7" s="5">
        <v>72</v>
      </c>
      <c r="J7" s="5">
        <v>10</v>
      </c>
      <c r="K7" s="5">
        <v>37</v>
      </c>
      <c r="L7" s="5">
        <v>26</v>
      </c>
      <c r="M7" s="5">
        <v>12</v>
      </c>
    </row>
    <row r="8" spans="1:13">
      <c r="A8" s="4" t="s">
        <v>19</v>
      </c>
      <c r="B8" s="6">
        <v>41</v>
      </c>
      <c r="C8" s="6">
        <v>30</v>
      </c>
      <c r="D8" s="6">
        <v>94</v>
      </c>
      <c r="E8" s="6">
        <v>84</v>
      </c>
      <c r="F8" s="6">
        <v>39</v>
      </c>
      <c r="G8" s="6">
        <v>11</v>
      </c>
      <c r="H8" s="6">
        <v>64</v>
      </c>
      <c r="I8" s="6">
        <v>88</v>
      </c>
      <c r="J8" s="6">
        <v>6</v>
      </c>
      <c r="K8" s="6">
        <v>13</v>
      </c>
      <c r="L8" s="6">
        <v>54</v>
      </c>
      <c r="M8" s="6">
        <v>89</v>
      </c>
    </row>
    <row r="9" spans="1:13">
      <c r="A9" s="3" t="s">
        <v>20</v>
      </c>
      <c r="B9" s="5">
        <v>39</v>
      </c>
      <c r="C9" s="5">
        <v>89</v>
      </c>
      <c r="D9" s="5">
        <v>89</v>
      </c>
      <c r="E9" s="5">
        <v>51</v>
      </c>
      <c r="F9" s="5">
        <v>18</v>
      </c>
      <c r="G9" s="5">
        <v>7</v>
      </c>
      <c r="H9" s="5">
        <v>42</v>
      </c>
      <c r="I9" s="5">
        <v>88</v>
      </c>
      <c r="J9" s="5">
        <v>54</v>
      </c>
      <c r="K9" s="5">
        <v>34</v>
      </c>
      <c r="L9" s="5">
        <v>53</v>
      </c>
      <c r="M9" s="5">
        <v>70</v>
      </c>
    </row>
    <row r="10" spans="1:13">
      <c r="A10" s="4" t="s">
        <v>21</v>
      </c>
      <c r="B10" s="6">
        <v>95</v>
      </c>
      <c r="C10" s="6">
        <v>17</v>
      </c>
      <c r="D10" s="6">
        <v>45</v>
      </c>
      <c r="E10" s="6">
        <v>67</v>
      </c>
      <c r="F10" s="6">
        <v>81</v>
      </c>
      <c r="G10" s="6">
        <v>73</v>
      </c>
      <c r="H10" s="6">
        <v>16</v>
      </c>
      <c r="I10" s="6">
        <v>28</v>
      </c>
      <c r="J10" s="6">
        <v>30</v>
      </c>
      <c r="K10" s="6">
        <v>69</v>
      </c>
      <c r="L10" s="6">
        <v>63</v>
      </c>
      <c r="M10" s="6">
        <v>76</v>
      </c>
    </row>
    <row r="11" spans="1:13">
      <c r="A11" s="3" t="s">
        <v>22</v>
      </c>
      <c r="B11" s="5">
        <v>96</v>
      </c>
      <c r="C11" s="5">
        <v>7</v>
      </c>
      <c r="D11" s="5">
        <v>10</v>
      </c>
      <c r="E11" s="5">
        <v>36</v>
      </c>
      <c r="F11" s="5">
        <v>72</v>
      </c>
      <c r="G11" s="5">
        <v>44</v>
      </c>
      <c r="H11" s="5">
        <v>47</v>
      </c>
      <c r="I11" s="5">
        <v>67</v>
      </c>
      <c r="J11" s="5">
        <v>55</v>
      </c>
      <c r="K11" s="5">
        <v>100</v>
      </c>
      <c r="L11" s="5">
        <v>25</v>
      </c>
      <c r="M11" s="5">
        <v>7</v>
      </c>
    </row>
    <row r="12" spans="1:13">
      <c r="A12" s="4" t="s">
        <v>23</v>
      </c>
      <c r="B12" s="6">
        <v>49</v>
      </c>
      <c r="C12" s="6">
        <v>92</v>
      </c>
      <c r="D12" s="6">
        <v>50</v>
      </c>
      <c r="E12" s="6">
        <v>50</v>
      </c>
      <c r="F12" s="6">
        <v>85</v>
      </c>
      <c r="G12" s="6">
        <v>43</v>
      </c>
      <c r="H12" s="6">
        <v>35</v>
      </c>
      <c r="I12" s="6">
        <v>69</v>
      </c>
      <c r="J12" s="6">
        <v>40</v>
      </c>
      <c r="K12" s="6">
        <v>12</v>
      </c>
      <c r="L12" s="6">
        <v>85</v>
      </c>
      <c r="M12" s="6">
        <v>37</v>
      </c>
    </row>
    <row r="13" spans="1:13">
      <c r="A13" s="3" t="s">
        <v>24</v>
      </c>
      <c r="B13" s="5">
        <v>54</v>
      </c>
      <c r="C13" s="5">
        <v>8</v>
      </c>
      <c r="D13" s="5">
        <v>76</v>
      </c>
      <c r="E13" s="5">
        <v>40</v>
      </c>
      <c r="F13" s="5">
        <v>33</v>
      </c>
      <c r="G13" s="5">
        <v>24</v>
      </c>
      <c r="H13" s="5">
        <v>48</v>
      </c>
      <c r="I13" s="5">
        <v>55</v>
      </c>
      <c r="J13" s="5">
        <v>89</v>
      </c>
      <c r="K13" s="5">
        <v>22</v>
      </c>
      <c r="L13" s="5">
        <v>16</v>
      </c>
      <c r="M13" s="5">
        <v>98</v>
      </c>
    </row>
    <row r="14" spans="1:13">
      <c r="A14" s="4" t="s">
        <v>25</v>
      </c>
      <c r="B14" s="6">
        <v>53</v>
      </c>
      <c r="C14" s="6">
        <v>71</v>
      </c>
      <c r="D14" s="6">
        <v>91</v>
      </c>
      <c r="E14" s="6">
        <v>83</v>
      </c>
      <c r="F14" s="6">
        <v>85</v>
      </c>
      <c r="G14" s="6">
        <v>92</v>
      </c>
      <c r="H14" s="6">
        <v>34</v>
      </c>
      <c r="I14" s="6">
        <v>58</v>
      </c>
      <c r="J14" s="6">
        <v>35</v>
      </c>
      <c r="K14" s="6">
        <v>78</v>
      </c>
      <c r="L14" s="6">
        <v>24</v>
      </c>
      <c r="M14" s="6">
        <v>59</v>
      </c>
    </row>
    <row r="15" spans="1:13">
      <c r="A15" s="3" t="s">
        <v>26</v>
      </c>
      <c r="B15" s="5">
        <v>44</v>
      </c>
      <c r="C15" s="5">
        <v>82</v>
      </c>
      <c r="D15" s="5">
        <v>47</v>
      </c>
      <c r="E15" s="5">
        <v>62</v>
      </c>
      <c r="F15" s="5">
        <v>74</v>
      </c>
      <c r="G15" s="5">
        <v>21</v>
      </c>
      <c r="H15" s="5">
        <v>31</v>
      </c>
      <c r="I15" s="5">
        <v>88</v>
      </c>
      <c r="J15" s="5">
        <v>22</v>
      </c>
      <c r="K15" s="5">
        <v>79</v>
      </c>
      <c r="L15" s="5">
        <v>74</v>
      </c>
      <c r="M15" s="5">
        <v>92</v>
      </c>
    </row>
    <row r="16" spans="1:13">
      <c r="A16" s="4" t="s">
        <v>27</v>
      </c>
      <c r="B16" s="6">
        <v>30</v>
      </c>
      <c r="C16" s="6">
        <v>22</v>
      </c>
      <c r="D16" s="6">
        <v>44</v>
      </c>
      <c r="E16" s="6">
        <v>93</v>
      </c>
      <c r="F16" s="6">
        <v>95</v>
      </c>
      <c r="G16" s="6">
        <v>72</v>
      </c>
      <c r="H16" s="6">
        <v>22</v>
      </c>
      <c r="I16" s="6">
        <v>60</v>
      </c>
      <c r="J16" s="6">
        <v>23</v>
      </c>
      <c r="K16" s="6">
        <v>88</v>
      </c>
      <c r="L16" s="6">
        <v>77</v>
      </c>
      <c r="M16" s="6">
        <v>25</v>
      </c>
    </row>
    <row r="17" spans="1:13">
      <c r="A17" s="3" t="s">
        <v>28</v>
      </c>
      <c r="B17" s="5">
        <v>45</v>
      </c>
      <c r="C17" s="5">
        <v>13</v>
      </c>
      <c r="D17" s="5">
        <v>76</v>
      </c>
      <c r="E17" s="5">
        <v>73</v>
      </c>
      <c r="F17" s="5">
        <v>97</v>
      </c>
      <c r="G17" s="5">
        <v>20</v>
      </c>
      <c r="H17" s="5">
        <v>28</v>
      </c>
      <c r="I17" s="5">
        <v>45</v>
      </c>
      <c r="J17" s="5">
        <v>23</v>
      </c>
      <c r="K17" s="5">
        <v>98</v>
      </c>
      <c r="L17" s="5">
        <v>8</v>
      </c>
      <c r="M17" s="5">
        <v>45</v>
      </c>
    </row>
    <row r="18" spans="1:13">
      <c r="A18" s="4" t="s">
        <v>29</v>
      </c>
      <c r="B18" s="6">
        <v>57</v>
      </c>
      <c r="C18" s="6">
        <v>57</v>
      </c>
      <c r="D18" s="6">
        <v>43</v>
      </c>
      <c r="E18" s="6">
        <v>61</v>
      </c>
      <c r="F18" s="6">
        <v>100</v>
      </c>
      <c r="G18" s="6">
        <v>86</v>
      </c>
      <c r="H18" s="6">
        <v>99</v>
      </c>
      <c r="I18" s="6">
        <v>40</v>
      </c>
      <c r="J18" s="6">
        <v>24</v>
      </c>
      <c r="K18" s="6">
        <v>29</v>
      </c>
      <c r="L18" s="6">
        <v>18</v>
      </c>
      <c r="M18" s="6">
        <v>21</v>
      </c>
    </row>
    <row r="19" spans="1:13">
      <c r="A19" s="3" t="s">
        <v>30</v>
      </c>
      <c r="B19" s="5">
        <v>28</v>
      </c>
      <c r="C19" s="5">
        <v>8</v>
      </c>
      <c r="D19" s="5">
        <v>83</v>
      </c>
      <c r="E19" s="5">
        <v>83</v>
      </c>
      <c r="F19" s="5">
        <v>39</v>
      </c>
      <c r="G19" s="5">
        <v>82</v>
      </c>
      <c r="H19" s="5">
        <v>77</v>
      </c>
      <c r="I19" s="5">
        <v>83</v>
      </c>
      <c r="J19" s="5">
        <v>34</v>
      </c>
      <c r="K19" s="5">
        <v>81</v>
      </c>
      <c r="L19" s="5">
        <v>34</v>
      </c>
      <c r="M19" s="5">
        <v>34</v>
      </c>
    </row>
    <row r="20" spans="1:13">
      <c r="A20" s="4" t="s">
        <v>31</v>
      </c>
      <c r="B20" s="6">
        <v>92</v>
      </c>
      <c r="C20" s="6">
        <v>8</v>
      </c>
      <c r="D20" s="6">
        <v>50</v>
      </c>
      <c r="E20" s="6">
        <v>15</v>
      </c>
      <c r="F20" s="6">
        <v>93</v>
      </c>
      <c r="G20" s="6">
        <v>66</v>
      </c>
      <c r="H20" s="6">
        <v>22</v>
      </c>
      <c r="I20" s="6">
        <v>69</v>
      </c>
      <c r="J20" s="6">
        <v>82</v>
      </c>
      <c r="K20" s="6">
        <v>65</v>
      </c>
      <c r="L20" s="6">
        <v>96</v>
      </c>
      <c r="M20" s="6">
        <v>88</v>
      </c>
    </row>
    <row r="21" spans="1:13">
      <c r="A21" s="3" t="s">
        <v>32</v>
      </c>
      <c r="B21" s="5">
        <v>52</v>
      </c>
      <c r="C21" s="5">
        <v>28</v>
      </c>
      <c r="D21" s="5">
        <v>54</v>
      </c>
      <c r="E21" s="5">
        <v>67</v>
      </c>
      <c r="F21" s="5">
        <v>65</v>
      </c>
      <c r="G21" s="5">
        <v>22</v>
      </c>
      <c r="H21" s="5">
        <v>25</v>
      </c>
      <c r="I21" s="5">
        <v>29</v>
      </c>
      <c r="J21" s="5">
        <v>33</v>
      </c>
      <c r="K21" s="5">
        <v>9</v>
      </c>
      <c r="L21" s="5">
        <v>57</v>
      </c>
      <c r="M21" s="5">
        <v>6</v>
      </c>
    </row>
    <row r="22" spans="1:13">
      <c r="A22" s="4" t="s">
        <v>33</v>
      </c>
      <c r="B22" s="6">
        <v>39</v>
      </c>
      <c r="C22" s="6">
        <v>57</v>
      </c>
      <c r="D22" s="6">
        <v>33</v>
      </c>
      <c r="E22" s="6">
        <v>100</v>
      </c>
      <c r="F22" s="6">
        <v>90</v>
      </c>
      <c r="G22" s="6">
        <v>30</v>
      </c>
      <c r="H22" s="6">
        <v>31</v>
      </c>
      <c r="I22" s="6">
        <v>13</v>
      </c>
      <c r="J22" s="6">
        <v>27</v>
      </c>
      <c r="K22" s="6">
        <v>61</v>
      </c>
      <c r="L22" s="6">
        <v>83</v>
      </c>
      <c r="M22" s="6">
        <v>67</v>
      </c>
    </row>
    <row r="23" spans="1:13">
      <c r="A23" s="3" t="s">
        <v>34</v>
      </c>
      <c r="B23" s="5">
        <v>93</v>
      </c>
      <c r="C23" s="5">
        <v>46</v>
      </c>
      <c r="D23" s="5">
        <v>63</v>
      </c>
      <c r="E23" s="5">
        <v>36</v>
      </c>
      <c r="F23" s="5">
        <v>59</v>
      </c>
      <c r="G23" s="5">
        <v>56</v>
      </c>
      <c r="H23" s="5">
        <v>10</v>
      </c>
      <c r="I23" s="5">
        <v>82</v>
      </c>
      <c r="J23" s="5">
        <v>99</v>
      </c>
      <c r="K23" s="5">
        <v>53</v>
      </c>
      <c r="L23" s="5">
        <v>97</v>
      </c>
      <c r="M23" s="5">
        <v>45</v>
      </c>
    </row>
    <row r="24" spans="1:13">
      <c r="A24" s="4" t="s">
        <v>35</v>
      </c>
      <c r="B24" s="6">
        <v>55</v>
      </c>
      <c r="C24" s="6">
        <v>83</v>
      </c>
      <c r="D24" s="6">
        <v>100</v>
      </c>
      <c r="E24" s="6">
        <v>78</v>
      </c>
      <c r="F24" s="6">
        <v>81</v>
      </c>
      <c r="G24" s="6">
        <v>73</v>
      </c>
      <c r="H24" s="6">
        <v>72</v>
      </c>
      <c r="I24" s="6">
        <v>87</v>
      </c>
      <c r="J24" s="6">
        <v>95</v>
      </c>
      <c r="K24" s="6">
        <v>9</v>
      </c>
      <c r="L24" s="6">
        <v>71</v>
      </c>
      <c r="M24" s="6">
        <v>18</v>
      </c>
    </row>
    <row r="25" spans="1:13">
      <c r="A25" s="3" t="s">
        <v>36</v>
      </c>
      <c r="B25" s="5">
        <v>62</v>
      </c>
      <c r="C25" s="5">
        <v>63</v>
      </c>
      <c r="D25" s="5">
        <v>10</v>
      </c>
      <c r="E25" s="5">
        <v>36</v>
      </c>
      <c r="F25" s="5">
        <v>71</v>
      </c>
      <c r="G25" s="5">
        <v>73</v>
      </c>
      <c r="H25" s="5">
        <v>55</v>
      </c>
      <c r="I25" s="5">
        <v>99</v>
      </c>
      <c r="J25" s="5">
        <v>10</v>
      </c>
      <c r="K25" s="5">
        <v>76</v>
      </c>
      <c r="L25" s="5">
        <v>54</v>
      </c>
      <c r="M25" s="5">
        <v>71</v>
      </c>
    </row>
    <row r="26" spans="1:13">
      <c r="A26" s="4" t="s">
        <v>37</v>
      </c>
      <c r="B26" s="6">
        <v>85</v>
      </c>
      <c r="C26" s="6">
        <v>11</v>
      </c>
      <c r="D26" s="6">
        <v>29</v>
      </c>
      <c r="E26" s="6">
        <v>42</v>
      </c>
      <c r="F26" s="6">
        <v>61</v>
      </c>
      <c r="G26" s="6">
        <v>55</v>
      </c>
      <c r="H26" s="6">
        <v>43</v>
      </c>
      <c r="I26" s="6">
        <v>41</v>
      </c>
      <c r="J26" s="6">
        <v>64</v>
      </c>
      <c r="K26" s="6">
        <v>26</v>
      </c>
      <c r="L26" s="6">
        <v>59</v>
      </c>
      <c r="M26" s="6">
        <v>42</v>
      </c>
    </row>
    <row r="27" spans="1:13">
      <c r="A27" s="3" t="s">
        <v>38</v>
      </c>
      <c r="B27" s="5">
        <v>83</v>
      </c>
      <c r="C27" s="5">
        <v>11</v>
      </c>
      <c r="D27" s="5">
        <v>93</v>
      </c>
      <c r="E27" s="5">
        <v>71</v>
      </c>
      <c r="F27" s="5">
        <v>23</v>
      </c>
      <c r="G27" s="5">
        <v>64</v>
      </c>
      <c r="H27" s="5">
        <v>87</v>
      </c>
      <c r="I27" s="5">
        <v>62</v>
      </c>
      <c r="J27" s="5">
        <v>16</v>
      </c>
      <c r="K27" s="5">
        <v>97</v>
      </c>
      <c r="L27" s="5">
        <v>69</v>
      </c>
      <c r="M27" s="5">
        <v>19</v>
      </c>
    </row>
    <row r="28" spans="1:13">
      <c r="A28" s="4" t="s">
        <v>39</v>
      </c>
      <c r="B28" s="6">
        <v>28</v>
      </c>
      <c r="C28" s="6">
        <v>79</v>
      </c>
      <c r="D28" s="6">
        <v>94</v>
      </c>
      <c r="E28" s="6">
        <v>74</v>
      </c>
      <c r="F28" s="6">
        <v>22</v>
      </c>
      <c r="G28" s="6">
        <v>55</v>
      </c>
      <c r="H28" s="6">
        <v>57</v>
      </c>
      <c r="I28" s="6">
        <v>46</v>
      </c>
      <c r="J28" s="6">
        <v>62</v>
      </c>
      <c r="K28" s="6">
        <v>8</v>
      </c>
      <c r="L28" s="6">
        <v>27</v>
      </c>
      <c r="M28" s="6">
        <v>63</v>
      </c>
    </row>
    <row r="29" spans="1:13">
      <c r="A29" s="3" t="s">
        <v>40</v>
      </c>
      <c r="B29" s="5">
        <v>80</v>
      </c>
      <c r="C29" s="5">
        <v>96</v>
      </c>
      <c r="D29" s="5">
        <v>30</v>
      </c>
      <c r="E29" s="5">
        <v>63</v>
      </c>
      <c r="F29" s="5">
        <v>16</v>
      </c>
      <c r="G29" s="5">
        <v>37</v>
      </c>
      <c r="H29" s="5">
        <v>46</v>
      </c>
      <c r="I29" s="5">
        <v>93</v>
      </c>
      <c r="J29" s="5">
        <v>88</v>
      </c>
      <c r="K29" s="5">
        <v>96</v>
      </c>
      <c r="L29" s="5">
        <v>25</v>
      </c>
      <c r="M29" s="5">
        <v>96</v>
      </c>
    </row>
    <row r="30" spans="1:13">
      <c r="A30" s="4" t="s">
        <v>41</v>
      </c>
      <c r="B30" s="6">
        <v>98</v>
      </c>
      <c r="C30" s="6">
        <v>20</v>
      </c>
      <c r="D30" s="6">
        <v>16</v>
      </c>
      <c r="E30" s="6">
        <v>19</v>
      </c>
      <c r="F30" s="6">
        <v>95</v>
      </c>
      <c r="G30" s="6">
        <v>62</v>
      </c>
      <c r="H30" s="6">
        <v>86</v>
      </c>
      <c r="I30" s="6">
        <v>51</v>
      </c>
      <c r="J30" s="6">
        <v>15</v>
      </c>
      <c r="K30" s="6">
        <v>72</v>
      </c>
      <c r="L30" s="6">
        <v>95</v>
      </c>
      <c r="M30" s="6">
        <v>54</v>
      </c>
    </row>
    <row r="31" spans="1:13">
      <c r="A31" s="3" t="s">
        <v>42</v>
      </c>
      <c r="B31" s="5">
        <v>98</v>
      </c>
      <c r="C31" s="5">
        <v>70</v>
      </c>
      <c r="D31" s="5">
        <v>83</v>
      </c>
      <c r="E31" s="5">
        <v>25</v>
      </c>
      <c r="F31" s="5">
        <v>53</v>
      </c>
      <c r="G31" s="5">
        <v>75</v>
      </c>
      <c r="H31" s="5">
        <v>53</v>
      </c>
      <c r="I31" s="5">
        <v>10</v>
      </c>
      <c r="J31" s="5">
        <v>26</v>
      </c>
      <c r="K31" s="5">
        <v>47</v>
      </c>
      <c r="L31" s="5">
        <v>77</v>
      </c>
      <c r="M31" s="5">
        <v>89</v>
      </c>
    </row>
    <row r="32" spans="1:13">
      <c r="A32" s="7" t="s">
        <v>43</v>
      </c>
      <c r="B32" s="8">
        <v>24</v>
      </c>
      <c r="C32" s="8">
        <v>25</v>
      </c>
      <c r="D32" s="8">
        <v>23</v>
      </c>
      <c r="E32" s="8">
        <v>27</v>
      </c>
      <c r="F32" s="8">
        <v>96</v>
      </c>
      <c r="G32" s="8">
        <v>11</v>
      </c>
      <c r="H32" s="8">
        <v>58</v>
      </c>
      <c r="I32" s="8">
        <v>44</v>
      </c>
      <c r="J32" s="8">
        <v>44</v>
      </c>
      <c r="K32" s="8">
        <v>98</v>
      </c>
      <c r="L32" s="8">
        <v>62</v>
      </c>
      <c r="M32" s="8">
        <v>41</v>
      </c>
    </row>
    <row r="33" spans="1:13">
      <c r="A33" s="7" t="s">
        <v>44</v>
      </c>
      <c r="B33" s="8">
        <v>85</v>
      </c>
      <c r="C33" s="8">
        <v>28</v>
      </c>
      <c r="D33" s="8">
        <v>20</v>
      </c>
      <c r="E33" s="8">
        <v>21</v>
      </c>
      <c r="F33" s="8">
        <v>30</v>
      </c>
      <c r="G33" s="8">
        <v>5</v>
      </c>
      <c r="H33" s="8">
        <v>84</v>
      </c>
      <c r="I33" s="8">
        <v>37</v>
      </c>
      <c r="J33" s="8">
        <v>6</v>
      </c>
      <c r="K33" s="8">
        <v>63</v>
      </c>
      <c r="L33" s="8">
        <v>68</v>
      </c>
      <c r="M33" s="8">
        <v>68</v>
      </c>
    </row>
    <row r="34" spans="1:13">
      <c r="A34" s="7" t="s">
        <v>45</v>
      </c>
      <c r="B34" s="8">
        <v>74</v>
      </c>
      <c r="C34" s="8">
        <v>5</v>
      </c>
      <c r="D34" s="8">
        <v>82</v>
      </c>
      <c r="E34" s="8">
        <v>68</v>
      </c>
      <c r="F34" s="8">
        <v>35</v>
      </c>
      <c r="G34" s="8">
        <v>32</v>
      </c>
      <c r="H34" s="8">
        <v>80</v>
      </c>
      <c r="I34" s="8">
        <v>89</v>
      </c>
      <c r="J34" s="8">
        <v>65</v>
      </c>
      <c r="K34" s="8">
        <v>63</v>
      </c>
      <c r="L34" s="8">
        <v>57</v>
      </c>
      <c r="M34" s="8">
        <v>61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0.7109375" customWidth="1"/>
    <col min="2" max="13" width="19.7109375" customWidth="1"/>
  </cols>
  <sheetData>
    <row r="1" spans="1:13">
      <c r="A1" s="1" t="s">
        <v>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53</v>
      </c>
      <c r="B3" s="3">
        <f>80</f>
        <v>80</v>
      </c>
      <c r="C3" s="3">
        <f>347</f>
        <v>347</v>
      </c>
      <c r="D3" s="3">
        <f>347</f>
        <v>347</v>
      </c>
      <c r="E3" s="3">
        <f>43</f>
        <v>43</v>
      </c>
      <c r="F3" s="3">
        <f>165</f>
        <v>165</v>
      </c>
      <c r="G3" s="3">
        <f>491</f>
        <v>491</v>
      </c>
      <c r="H3" s="3">
        <f>320</f>
        <v>320</v>
      </c>
      <c r="I3" s="3">
        <f>182</f>
        <v>182</v>
      </c>
      <c r="J3" s="3">
        <f>357</f>
        <v>357</v>
      </c>
      <c r="K3" s="3">
        <f>361</f>
        <v>361</v>
      </c>
      <c r="L3" s="3">
        <f>325</f>
        <v>325</v>
      </c>
      <c r="M3" s="3">
        <f>459</f>
        <v>459</v>
      </c>
    </row>
    <row r="4" spans="1:13">
      <c r="A4" s="4" t="s">
        <v>54</v>
      </c>
      <c r="B4" s="4">
        <f>462</f>
        <v>462</v>
      </c>
      <c r="C4" s="4">
        <f>146</f>
        <v>146</v>
      </c>
      <c r="D4" s="4">
        <f>65</f>
        <v>65</v>
      </c>
      <c r="E4" s="4">
        <f>134</f>
        <v>134</v>
      </c>
      <c r="F4" s="4">
        <f>115</f>
        <v>115</v>
      </c>
      <c r="G4" s="4">
        <f>68</f>
        <v>68</v>
      </c>
      <c r="H4" s="4">
        <f>374</f>
        <v>374</v>
      </c>
      <c r="I4" s="4">
        <f>218</f>
        <v>218</v>
      </c>
      <c r="J4" s="4">
        <f>58</f>
        <v>58</v>
      </c>
      <c r="K4" s="4">
        <f>114</f>
        <v>114</v>
      </c>
      <c r="L4" s="4">
        <f>477</f>
        <v>477</v>
      </c>
      <c r="M4" s="4">
        <f>56</f>
        <v>56</v>
      </c>
    </row>
    <row r="5" spans="1:13">
      <c r="A5" s="3" t="s">
        <v>55</v>
      </c>
      <c r="B5" s="3">
        <f>381</f>
        <v>381</v>
      </c>
      <c r="C5" s="3">
        <f>335</f>
        <v>335</v>
      </c>
      <c r="D5" s="3">
        <f>469</f>
        <v>469</v>
      </c>
      <c r="E5" s="3">
        <f>348</f>
        <v>348</v>
      </c>
      <c r="F5" s="3">
        <f>192</f>
        <v>192</v>
      </c>
      <c r="G5" s="3">
        <f>209</f>
        <v>209</v>
      </c>
      <c r="H5" s="3">
        <f>84</f>
        <v>84</v>
      </c>
      <c r="I5" s="3">
        <f>65</f>
        <v>65</v>
      </c>
      <c r="J5" s="3">
        <f>95</f>
        <v>95</v>
      </c>
      <c r="K5" s="3">
        <f>253</f>
        <v>253</v>
      </c>
      <c r="L5" s="3">
        <f>131</f>
        <v>131</v>
      </c>
      <c r="M5" s="3">
        <f>122</f>
        <v>122</v>
      </c>
    </row>
    <row r="6" spans="1:13">
      <c r="A6" s="4" t="s">
        <v>56</v>
      </c>
      <c r="B6" s="4">
        <f>384</f>
        <v>384</v>
      </c>
      <c r="C6" s="4">
        <f>185</f>
        <v>185</v>
      </c>
      <c r="D6" s="4">
        <f>352</f>
        <v>352</v>
      </c>
      <c r="E6" s="4">
        <f>378</f>
        <v>378</v>
      </c>
      <c r="F6" s="4">
        <f>394</f>
        <v>394</v>
      </c>
      <c r="G6" s="4">
        <f>398</f>
        <v>398</v>
      </c>
      <c r="H6" s="4">
        <f>344</f>
        <v>344</v>
      </c>
      <c r="I6" s="4">
        <f>333</f>
        <v>333</v>
      </c>
      <c r="J6" s="4">
        <f>443</f>
        <v>443</v>
      </c>
      <c r="K6" s="4">
        <f>327</f>
        <v>327</v>
      </c>
      <c r="L6" s="4">
        <f>130</f>
        <v>130</v>
      </c>
      <c r="M6" s="4">
        <f>273</f>
        <v>273</v>
      </c>
    </row>
    <row r="7" spans="1:13">
      <c r="A7" s="3" t="s">
        <v>18</v>
      </c>
      <c r="B7" s="5">
        <v>100</v>
      </c>
      <c r="C7" s="5">
        <v>79</v>
      </c>
      <c r="D7" s="5">
        <v>51</v>
      </c>
      <c r="E7" s="5">
        <v>9</v>
      </c>
      <c r="F7" s="5">
        <v>16</v>
      </c>
      <c r="G7" s="5">
        <v>43</v>
      </c>
      <c r="H7" s="5">
        <v>46</v>
      </c>
      <c r="I7" s="5">
        <v>52</v>
      </c>
      <c r="J7" s="5">
        <v>53</v>
      </c>
      <c r="K7" s="5">
        <v>13</v>
      </c>
      <c r="L7" s="5">
        <v>59</v>
      </c>
      <c r="M7" s="5">
        <v>75</v>
      </c>
    </row>
    <row r="8" spans="1:13">
      <c r="A8" s="4" t="s">
        <v>19</v>
      </c>
      <c r="B8" s="6">
        <v>13</v>
      </c>
      <c r="C8" s="6">
        <v>42</v>
      </c>
      <c r="D8" s="6">
        <v>65</v>
      </c>
      <c r="E8" s="6">
        <v>22</v>
      </c>
      <c r="F8" s="6">
        <v>20</v>
      </c>
      <c r="G8" s="6">
        <v>93</v>
      </c>
      <c r="H8" s="6">
        <v>40</v>
      </c>
      <c r="I8" s="6">
        <v>47</v>
      </c>
      <c r="J8" s="6">
        <v>72</v>
      </c>
      <c r="K8" s="6">
        <v>57</v>
      </c>
      <c r="L8" s="6">
        <v>72</v>
      </c>
      <c r="M8" s="6">
        <v>31</v>
      </c>
    </row>
    <row r="9" spans="1:13">
      <c r="A9" s="3" t="s">
        <v>20</v>
      </c>
      <c r="B9" s="5">
        <v>94</v>
      </c>
      <c r="C9" s="5">
        <v>31</v>
      </c>
      <c r="D9" s="5">
        <v>83</v>
      </c>
      <c r="E9" s="5">
        <v>12</v>
      </c>
      <c r="F9" s="5">
        <v>18</v>
      </c>
      <c r="G9" s="5">
        <v>78</v>
      </c>
      <c r="H9" s="5">
        <v>98</v>
      </c>
      <c r="I9" s="5">
        <v>85</v>
      </c>
      <c r="J9" s="5">
        <v>72</v>
      </c>
      <c r="K9" s="5">
        <v>16</v>
      </c>
      <c r="L9" s="5">
        <v>66</v>
      </c>
      <c r="M9" s="5">
        <v>97</v>
      </c>
    </row>
    <row r="10" spans="1:13">
      <c r="A10" s="4" t="s">
        <v>21</v>
      </c>
      <c r="B10" s="6">
        <v>93</v>
      </c>
      <c r="C10" s="6">
        <v>82</v>
      </c>
      <c r="D10" s="6">
        <v>95</v>
      </c>
      <c r="E10" s="6">
        <v>41</v>
      </c>
      <c r="F10" s="6">
        <v>59</v>
      </c>
      <c r="G10" s="6">
        <v>82</v>
      </c>
      <c r="H10" s="6">
        <v>45</v>
      </c>
      <c r="I10" s="6">
        <v>38</v>
      </c>
      <c r="J10" s="6">
        <v>72</v>
      </c>
      <c r="K10" s="6">
        <v>78</v>
      </c>
      <c r="L10" s="6">
        <v>84</v>
      </c>
      <c r="M10" s="6">
        <v>50</v>
      </c>
    </row>
    <row r="11" spans="1:13">
      <c r="A11" s="3" t="s">
        <v>22</v>
      </c>
      <c r="B11" s="5">
        <v>21</v>
      </c>
      <c r="C11" s="5">
        <v>83</v>
      </c>
      <c r="D11" s="5">
        <v>77</v>
      </c>
      <c r="E11" s="5">
        <v>68</v>
      </c>
      <c r="F11" s="5">
        <v>71</v>
      </c>
      <c r="G11" s="5">
        <v>98</v>
      </c>
      <c r="H11" s="5">
        <v>85</v>
      </c>
      <c r="I11" s="5">
        <v>68</v>
      </c>
      <c r="J11" s="5">
        <v>68</v>
      </c>
      <c r="K11" s="5">
        <v>28</v>
      </c>
      <c r="L11" s="5">
        <v>83</v>
      </c>
      <c r="M11" s="5">
        <v>34</v>
      </c>
    </row>
    <row r="12" spans="1:13">
      <c r="A12" s="4" t="s">
        <v>23</v>
      </c>
      <c r="B12" s="6">
        <v>95</v>
      </c>
      <c r="C12" s="6">
        <v>42</v>
      </c>
      <c r="D12" s="6">
        <v>29</v>
      </c>
      <c r="E12" s="6">
        <v>5</v>
      </c>
      <c r="F12" s="6">
        <v>20</v>
      </c>
      <c r="G12" s="6">
        <v>8</v>
      </c>
      <c r="H12" s="6">
        <v>64</v>
      </c>
      <c r="I12" s="6">
        <v>85</v>
      </c>
      <c r="J12" s="6">
        <v>20</v>
      </c>
      <c r="K12" s="6">
        <v>99</v>
      </c>
      <c r="L12" s="6">
        <v>31</v>
      </c>
      <c r="M12" s="6">
        <v>83</v>
      </c>
    </row>
    <row r="13" spans="1:13">
      <c r="A13" s="3" t="s">
        <v>24</v>
      </c>
      <c r="B13" s="5">
        <v>58</v>
      </c>
      <c r="C13" s="5">
        <v>57</v>
      </c>
      <c r="D13" s="5">
        <v>10</v>
      </c>
      <c r="E13" s="5">
        <v>47</v>
      </c>
      <c r="F13" s="5">
        <v>49</v>
      </c>
      <c r="G13" s="5">
        <v>76</v>
      </c>
      <c r="H13" s="5">
        <v>86</v>
      </c>
      <c r="I13" s="5">
        <v>32</v>
      </c>
      <c r="J13" s="5">
        <v>6</v>
      </c>
      <c r="K13" s="5">
        <v>86</v>
      </c>
      <c r="L13" s="5">
        <v>30</v>
      </c>
      <c r="M13" s="5">
        <v>93</v>
      </c>
    </row>
    <row r="14" spans="1:13">
      <c r="A14" s="4" t="s">
        <v>25</v>
      </c>
      <c r="B14" s="6">
        <v>41</v>
      </c>
      <c r="C14" s="6">
        <v>37</v>
      </c>
      <c r="D14" s="6">
        <v>13</v>
      </c>
      <c r="E14" s="6">
        <v>44</v>
      </c>
      <c r="F14" s="6">
        <v>43</v>
      </c>
      <c r="G14" s="6">
        <v>69</v>
      </c>
      <c r="H14" s="6">
        <v>75</v>
      </c>
      <c r="I14" s="6">
        <v>46</v>
      </c>
      <c r="J14" s="6">
        <v>5</v>
      </c>
      <c r="K14" s="6">
        <v>19</v>
      </c>
      <c r="L14" s="6">
        <v>92</v>
      </c>
      <c r="M14" s="6">
        <v>47</v>
      </c>
    </row>
    <row r="15" spans="1:13">
      <c r="A15" s="3" t="s">
        <v>26</v>
      </c>
      <c r="B15" s="5">
        <v>48</v>
      </c>
      <c r="C15" s="5">
        <v>55</v>
      </c>
      <c r="D15" s="5">
        <v>97</v>
      </c>
      <c r="E15" s="5">
        <v>77</v>
      </c>
      <c r="F15" s="5">
        <v>83</v>
      </c>
      <c r="G15" s="5">
        <v>8</v>
      </c>
      <c r="H15" s="5">
        <v>27</v>
      </c>
      <c r="I15" s="5">
        <v>29</v>
      </c>
      <c r="J15" s="5">
        <v>47</v>
      </c>
      <c r="K15" s="5">
        <v>48</v>
      </c>
      <c r="L15" s="5">
        <v>91</v>
      </c>
      <c r="M15" s="5">
        <v>66</v>
      </c>
    </row>
    <row r="16" spans="1:13">
      <c r="A16" s="4" t="s">
        <v>27</v>
      </c>
      <c r="B16" s="6">
        <v>65</v>
      </c>
      <c r="C16" s="6">
        <v>9</v>
      </c>
      <c r="D16" s="6">
        <v>87</v>
      </c>
      <c r="E16" s="6">
        <v>22</v>
      </c>
      <c r="F16" s="6">
        <v>66</v>
      </c>
      <c r="G16" s="6">
        <v>24</v>
      </c>
      <c r="H16" s="6">
        <v>85</v>
      </c>
      <c r="I16" s="6">
        <v>63</v>
      </c>
      <c r="J16" s="6">
        <v>73</v>
      </c>
      <c r="K16" s="6">
        <v>47</v>
      </c>
      <c r="L16" s="6">
        <v>64</v>
      </c>
      <c r="M16" s="6">
        <v>57</v>
      </c>
    </row>
    <row r="17" spans="1:13">
      <c r="A17" s="3" t="s">
        <v>28</v>
      </c>
      <c r="B17" s="5">
        <v>100</v>
      </c>
      <c r="C17" s="5">
        <v>12</v>
      </c>
      <c r="D17" s="5">
        <v>71</v>
      </c>
      <c r="E17" s="5">
        <v>43</v>
      </c>
      <c r="F17" s="5">
        <v>77</v>
      </c>
      <c r="G17" s="5">
        <v>97</v>
      </c>
      <c r="H17" s="5">
        <v>91</v>
      </c>
      <c r="I17" s="5">
        <v>45</v>
      </c>
      <c r="J17" s="5">
        <v>76</v>
      </c>
      <c r="K17" s="5">
        <v>73</v>
      </c>
      <c r="L17" s="5">
        <v>7</v>
      </c>
      <c r="M17" s="5">
        <v>31</v>
      </c>
    </row>
    <row r="18" spans="1:13">
      <c r="A18" s="4" t="s">
        <v>29</v>
      </c>
      <c r="B18" s="6">
        <v>78</v>
      </c>
      <c r="C18" s="6">
        <v>92</v>
      </c>
      <c r="D18" s="6">
        <v>47</v>
      </c>
      <c r="E18" s="6">
        <v>50</v>
      </c>
      <c r="F18" s="6">
        <v>13</v>
      </c>
      <c r="G18" s="6">
        <v>24</v>
      </c>
      <c r="H18" s="6">
        <v>40</v>
      </c>
      <c r="I18" s="6">
        <v>8</v>
      </c>
      <c r="J18" s="6">
        <v>48</v>
      </c>
      <c r="K18" s="6">
        <v>53</v>
      </c>
      <c r="L18" s="6">
        <v>85</v>
      </c>
      <c r="M18" s="6">
        <v>73</v>
      </c>
    </row>
    <row r="19" spans="1:13">
      <c r="A19" s="3" t="s">
        <v>30</v>
      </c>
      <c r="B19" s="5">
        <v>26</v>
      </c>
      <c r="C19" s="5">
        <v>78</v>
      </c>
      <c r="D19" s="5">
        <v>82</v>
      </c>
      <c r="E19" s="5">
        <v>54</v>
      </c>
      <c r="F19" s="5">
        <v>28</v>
      </c>
      <c r="G19" s="5">
        <v>81</v>
      </c>
      <c r="H19" s="5">
        <v>19</v>
      </c>
      <c r="I19" s="5">
        <v>44</v>
      </c>
      <c r="J19" s="5">
        <v>95</v>
      </c>
      <c r="K19" s="5">
        <v>45</v>
      </c>
      <c r="L19" s="5">
        <v>95</v>
      </c>
      <c r="M19" s="5">
        <v>9</v>
      </c>
    </row>
    <row r="20" spans="1:13">
      <c r="A20" s="4" t="s">
        <v>31</v>
      </c>
      <c r="B20" s="6">
        <v>39</v>
      </c>
      <c r="C20" s="6">
        <v>57</v>
      </c>
      <c r="D20" s="6">
        <v>16</v>
      </c>
      <c r="E20" s="6">
        <v>68</v>
      </c>
      <c r="F20" s="6">
        <v>35</v>
      </c>
      <c r="G20" s="6">
        <v>52</v>
      </c>
      <c r="H20" s="6">
        <v>62</v>
      </c>
      <c r="I20" s="6">
        <v>43</v>
      </c>
      <c r="J20" s="6">
        <v>32</v>
      </c>
      <c r="K20" s="6">
        <v>72</v>
      </c>
      <c r="L20" s="6">
        <v>43</v>
      </c>
      <c r="M20" s="6">
        <v>27</v>
      </c>
    </row>
    <row r="21" spans="1:13">
      <c r="A21" s="3" t="s">
        <v>32</v>
      </c>
      <c r="B21" s="5">
        <v>19</v>
      </c>
      <c r="C21" s="5">
        <v>52</v>
      </c>
      <c r="D21" s="5">
        <v>9</v>
      </c>
      <c r="E21" s="5">
        <v>30</v>
      </c>
      <c r="F21" s="5">
        <v>16</v>
      </c>
      <c r="G21" s="5">
        <v>61</v>
      </c>
      <c r="H21" s="5">
        <v>69</v>
      </c>
      <c r="I21" s="5">
        <v>8</v>
      </c>
      <c r="J21" s="5">
        <v>66</v>
      </c>
      <c r="K21" s="5">
        <v>69</v>
      </c>
      <c r="L21" s="5">
        <v>24</v>
      </c>
      <c r="M21" s="5">
        <v>29</v>
      </c>
    </row>
    <row r="22" spans="1:13">
      <c r="A22" s="4" t="s">
        <v>33</v>
      </c>
      <c r="B22" s="6">
        <v>48</v>
      </c>
      <c r="C22" s="6">
        <v>66</v>
      </c>
      <c r="D22" s="6">
        <v>98</v>
      </c>
      <c r="E22" s="6">
        <v>72</v>
      </c>
      <c r="F22" s="6">
        <v>44</v>
      </c>
      <c r="G22" s="6">
        <v>46</v>
      </c>
      <c r="H22" s="6">
        <v>23</v>
      </c>
      <c r="I22" s="6">
        <v>17</v>
      </c>
      <c r="J22" s="6">
        <v>71</v>
      </c>
      <c r="K22" s="6">
        <v>91</v>
      </c>
      <c r="L22" s="6">
        <v>21</v>
      </c>
      <c r="M22" s="6">
        <v>31</v>
      </c>
    </row>
    <row r="23" spans="1:13">
      <c r="A23" s="3" t="s">
        <v>34</v>
      </c>
      <c r="B23" s="5">
        <v>97</v>
      </c>
      <c r="C23" s="5">
        <v>9</v>
      </c>
      <c r="D23" s="5">
        <v>63</v>
      </c>
      <c r="E23" s="5">
        <v>54</v>
      </c>
      <c r="F23" s="5">
        <v>96</v>
      </c>
      <c r="G23" s="5">
        <v>71</v>
      </c>
      <c r="H23" s="5">
        <v>19</v>
      </c>
      <c r="I23" s="5">
        <v>5</v>
      </c>
      <c r="J23" s="5">
        <v>44</v>
      </c>
      <c r="K23" s="5">
        <v>10</v>
      </c>
      <c r="L23" s="5">
        <v>92</v>
      </c>
      <c r="M23" s="5">
        <v>81</v>
      </c>
    </row>
    <row r="24" spans="1:13">
      <c r="A24" s="4" t="s">
        <v>35</v>
      </c>
      <c r="B24" s="6">
        <v>16</v>
      </c>
      <c r="C24" s="6">
        <v>47</v>
      </c>
      <c r="D24" s="6">
        <v>64</v>
      </c>
      <c r="E24" s="6">
        <v>10</v>
      </c>
      <c r="F24" s="6">
        <v>18</v>
      </c>
      <c r="G24" s="6">
        <v>71</v>
      </c>
      <c r="H24" s="6">
        <v>89</v>
      </c>
      <c r="I24" s="6">
        <v>100</v>
      </c>
      <c r="J24" s="6">
        <v>44</v>
      </c>
      <c r="K24" s="6">
        <v>7</v>
      </c>
      <c r="L24" s="6">
        <v>78</v>
      </c>
      <c r="M24" s="6">
        <v>44</v>
      </c>
    </row>
    <row r="25" spans="1:13">
      <c r="A25" s="3" t="s">
        <v>36</v>
      </c>
      <c r="B25" s="5">
        <v>86</v>
      </c>
      <c r="C25" s="5">
        <v>31</v>
      </c>
      <c r="D25" s="5">
        <v>46</v>
      </c>
      <c r="E25" s="5">
        <v>30</v>
      </c>
      <c r="F25" s="5">
        <v>29</v>
      </c>
      <c r="G25" s="5">
        <v>41</v>
      </c>
      <c r="H25" s="5">
        <v>40</v>
      </c>
      <c r="I25" s="5">
        <v>73</v>
      </c>
      <c r="J25" s="5">
        <v>45</v>
      </c>
      <c r="K25" s="5">
        <v>61</v>
      </c>
      <c r="L25" s="5">
        <v>90</v>
      </c>
      <c r="M25" s="5">
        <v>20</v>
      </c>
    </row>
    <row r="26" spans="1:13">
      <c r="A26" s="4" t="s">
        <v>37</v>
      </c>
      <c r="B26" s="6">
        <v>39</v>
      </c>
      <c r="C26" s="6">
        <v>24</v>
      </c>
      <c r="D26" s="6">
        <v>25</v>
      </c>
      <c r="E26" s="6">
        <v>40</v>
      </c>
      <c r="F26" s="6">
        <v>19</v>
      </c>
      <c r="G26" s="6">
        <v>6</v>
      </c>
      <c r="H26" s="6">
        <v>84</v>
      </c>
      <c r="I26" s="6">
        <v>76</v>
      </c>
      <c r="J26" s="6">
        <v>70</v>
      </c>
      <c r="K26" s="6">
        <v>18</v>
      </c>
      <c r="L26" s="6">
        <v>31</v>
      </c>
      <c r="M26" s="6">
        <v>74</v>
      </c>
    </row>
    <row r="27" spans="1:13">
      <c r="A27" s="3" t="s">
        <v>38</v>
      </c>
      <c r="B27" s="5">
        <v>49</v>
      </c>
      <c r="C27" s="5">
        <v>75</v>
      </c>
      <c r="D27" s="5">
        <v>45</v>
      </c>
      <c r="E27" s="5">
        <v>39</v>
      </c>
      <c r="F27" s="5">
        <v>23</v>
      </c>
      <c r="G27" s="5">
        <v>95</v>
      </c>
      <c r="H27" s="5">
        <v>41</v>
      </c>
      <c r="I27" s="5">
        <v>78</v>
      </c>
      <c r="J27" s="5">
        <v>36</v>
      </c>
      <c r="K27" s="5">
        <v>26</v>
      </c>
      <c r="L27" s="5">
        <v>14</v>
      </c>
      <c r="M27" s="5">
        <v>44</v>
      </c>
    </row>
    <row r="28" spans="1:13">
      <c r="A28" s="4" t="s">
        <v>39</v>
      </c>
      <c r="B28" s="6">
        <v>83</v>
      </c>
      <c r="C28" s="6">
        <v>48</v>
      </c>
      <c r="D28" s="6">
        <v>74</v>
      </c>
      <c r="E28" s="6">
        <v>61</v>
      </c>
      <c r="F28" s="6">
        <v>11</v>
      </c>
      <c r="G28" s="6">
        <v>21</v>
      </c>
      <c r="H28" s="6">
        <v>8</v>
      </c>
      <c r="I28" s="6">
        <v>65</v>
      </c>
      <c r="J28" s="6">
        <v>91</v>
      </c>
      <c r="K28" s="6">
        <v>11</v>
      </c>
      <c r="L28" s="6">
        <v>18</v>
      </c>
      <c r="M28" s="6">
        <v>54</v>
      </c>
    </row>
    <row r="29" spans="1:13">
      <c r="A29" s="3" t="s">
        <v>40</v>
      </c>
      <c r="B29" s="5">
        <v>11</v>
      </c>
      <c r="C29" s="5">
        <v>16</v>
      </c>
      <c r="D29" s="5">
        <v>59</v>
      </c>
      <c r="E29" s="5">
        <v>55</v>
      </c>
      <c r="F29" s="5">
        <v>27</v>
      </c>
      <c r="G29" s="5">
        <v>95</v>
      </c>
      <c r="H29" s="5">
        <v>81</v>
      </c>
      <c r="I29" s="5">
        <v>80</v>
      </c>
      <c r="J29" s="5">
        <v>85</v>
      </c>
      <c r="K29" s="5">
        <v>93</v>
      </c>
      <c r="L29" s="5">
        <v>94</v>
      </c>
      <c r="M29" s="5">
        <v>62</v>
      </c>
    </row>
    <row r="30" spans="1:13">
      <c r="A30" s="4" t="s">
        <v>41</v>
      </c>
      <c r="B30" s="6">
        <v>83</v>
      </c>
      <c r="C30" s="6">
        <v>50</v>
      </c>
      <c r="D30" s="6">
        <v>44</v>
      </c>
      <c r="E30" s="6">
        <v>47</v>
      </c>
      <c r="F30" s="6">
        <v>30</v>
      </c>
      <c r="G30" s="6">
        <v>96</v>
      </c>
      <c r="H30" s="6">
        <v>90</v>
      </c>
      <c r="I30" s="6">
        <v>73</v>
      </c>
      <c r="J30" s="6">
        <v>15</v>
      </c>
      <c r="K30" s="6">
        <v>64</v>
      </c>
      <c r="L30" s="6">
        <v>77</v>
      </c>
      <c r="M30" s="6">
        <v>21</v>
      </c>
    </row>
    <row r="31" spans="1:13">
      <c r="A31" s="3" t="s">
        <v>42</v>
      </c>
      <c r="B31" s="5">
        <v>16</v>
      </c>
      <c r="C31" s="5">
        <v>94</v>
      </c>
      <c r="D31" s="5">
        <v>64</v>
      </c>
      <c r="E31" s="5">
        <v>17</v>
      </c>
      <c r="F31" s="5">
        <v>63</v>
      </c>
      <c r="G31" s="5">
        <v>44</v>
      </c>
      <c r="H31" s="5">
        <v>92</v>
      </c>
      <c r="I31" s="5">
        <v>87</v>
      </c>
      <c r="J31" s="5">
        <v>95</v>
      </c>
      <c r="K31" s="5">
        <v>64</v>
      </c>
      <c r="L31" s="5">
        <v>65</v>
      </c>
      <c r="M31" s="5">
        <v>34</v>
      </c>
    </row>
    <row r="32" spans="1:13">
      <c r="A32" s="7" t="s">
        <v>43</v>
      </c>
      <c r="B32" s="8">
        <v>33</v>
      </c>
      <c r="C32" s="8">
        <v>23</v>
      </c>
      <c r="D32" s="8">
        <v>83</v>
      </c>
      <c r="E32" s="8">
        <v>38</v>
      </c>
      <c r="F32" s="8">
        <v>51</v>
      </c>
      <c r="G32" s="8">
        <v>55</v>
      </c>
      <c r="H32" s="8">
        <v>28</v>
      </c>
      <c r="I32" s="8">
        <v>94</v>
      </c>
      <c r="J32" s="8">
        <v>90</v>
      </c>
      <c r="K32" s="8">
        <v>47</v>
      </c>
      <c r="L32" s="8">
        <v>46</v>
      </c>
      <c r="M32" s="8">
        <v>63</v>
      </c>
    </row>
    <row r="33" spans="1:13">
      <c r="A33" s="7" t="s">
        <v>44</v>
      </c>
      <c r="B33" s="8">
        <v>67</v>
      </c>
      <c r="C33" s="8">
        <v>8</v>
      </c>
      <c r="D33" s="8">
        <v>13</v>
      </c>
      <c r="E33" s="8">
        <v>65</v>
      </c>
      <c r="F33" s="8">
        <v>19</v>
      </c>
      <c r="G33" s="8">
        <v>49</v>
      </c>
      <c r="H33" s="8">
        <v>66</v>
      </c>
      <c r="I33" s="8">
        <v>64</v>
      </c>
      <c r="J33" s="8">
        <v>26</v>
      </c>
      <c r="K33" s="8">
        <v>41</v>
      </c>
      <c r="L33" s="8">
        <v>49</v>
      </c>
      <c r="M33" s="8">
        <v>82</v>
      </c>
    </row>
    <row r="34" spans="1:13">
      <c r="A34" s="7" t="s">
        <v>45</v>
      </c>
      <c r="B34" s="8">
        <v>78</v>
      </c>
      <c r="C34" s="8">
        <v>21</v>
      </c>
      <c r="D34" s="8">
        <v>70</v>
      </c>
      <c r="E34" s="8">
        <v>18</v>
      </c>
      <c r="F34" s="8">
        <v>56</v>
      </c>
      <c r="G34" s="8">
        <v>96</v>
      </c>
      <c r="H34" s="8">
        <v>18</v>
      </c>
      <c r="I34" s="8">
        <v>46</v>
      </c>
      <c r="J34" s="8">
        <v>76</v>
      </c>
      <c r="K34" s="8">
        <v>88</v>
      </c>
      <c r="L34" s="8">
        <v>14</v>
      </c>
      <c r="M34" s="8">
        <v>43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TV</vt:lpstr>
      <vt:lpstr>Digital</vt:lpstr>
      <vt:lpstr>Print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2026-05-26T12:45:30Z</dcterms:created>
  <dcterms:modified xsi:type="dcterms:W3CDTF">2026-05-26T12:45:30Z</dcterms:modified>
</cp:coreProperties>
</file>