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L" sheetId="1" r:id="rId1"/>
    <sheet name="Segments" sheetId="2" r:id="rId2"/>
    <sheet name="KPIs" sheetId="3" r:id="rId3"/>
  </sheets>
  <calcPr calcId="124519" fullCalcOnLoad="1"/>
</workbook>
</file>

<file path=xl/sharedStrings.xml><?xml version="1.0" encoding="utf-8"?>
<sst xmlns="http://schemas.openxmlformats.org/spreadsheetml/2006/main" count="176" uniqueCount="53">
  <si>
    <t>Posch Energy GmbH - P&amp;L Statement 2025 - P&amp;L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</si>
  <si>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</si>
  <si>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</si>
  <si>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</si>
  <si>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</si>
  <si>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</si>
  <si>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</si>
  <si>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</si>
  <si>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</si>
  <si>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</si>
  <si>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</si>
  <si>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</si>
  <si>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</si>
  <si>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</si>
  <si>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Solar</t>
  </si>
  <si>
    <t>Wind</t>
  </si>
  <si>
    <t>Consulting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</si>
  <si>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</si>
  <si>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</si>
  <si>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</si>
  <si>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</si>
  <si>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</si>
  <si>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</si>
  <si>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</si>
  <si>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</si>
  <si>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</si>
  <si>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</si>
  <si>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</si>
  <si>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</si>
  <si>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</si>
  <si>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</si>
  <si>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</si>
  <si>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</si>
  <si>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</si>
  <si>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</si>
  <si>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</si>
  <si>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</si>
  <si>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</si>
  <si>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</si>
  <si>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</si>
  <si>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</si>
  <si>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</si>
  <si>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</si>
  <si>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</si>
  <si>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</si>
  <si>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</si>
  <si>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Posch Energy GmbH - P&amp;L Statement 2025 - Segments</t>
  </si>
  <si>
    <t>Total</t>
  </si>
  <si>
    <t>Posch Energy GmbH - P&amp;L Statement 2025 - KPIs</t>
  </si>
  <si>
    <t>Revenue</t>
  </si>
  <si>
    <t>EBIT</t>
  </si>
  <si>
    <t>Margin</t>
  </si>
  <si>
    <t>Employees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</si>
</sst>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6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367</f>
        <v>367</v>
      </c>
      <c r="C3" s="3">
        <f>97</f>
        <v>97</v>
      </c>
      <c r="D3" s="3">
        <f>52</f>
        <v>52</v>
      </c>
      <c r="E3" s="3">
        <f>419</f>
        <v>419</v>
      </c>
      <c r="F3" s="3">
        <f>180</f>
        <v>180</v>
      </c>
      <c r="G3" s="3">
        <f>165</f>
        <v>165</v>
      </c>
      <c r="H3" s="3">
        <f>154</f>
        <v>154</v>
      </c>
      <c r="I3" s="3">
        <f>111</f>
        <v>111</v>
      </c>
      <c r="J3" s="3">
        <f>417</f>
        <v>417</v>
      </c>
      <c r="K3" s="3">
        <f>92</f>
        <v>92</v>
      </c>
      <c r="L3" s="3">
        <f>386</f>
        <v>386</v>
      </c>
      <c r="M3" s="3">
        <f>419</f>
        <v>419</v>
      </c>
    </row>
    <row r="4" spans="1:13">
      <c r="A4" s="4" t="s">
        <v>15</v>
      </c>
      <c r="B4" s="4">
        <f>496</f>
        <v>496</v>
      </c>
      <c r="C4" s="4">
        <f>319</f>
        <v>319</v>
      </c>
      <c r="D4" s="4">
        <f>84</f>
        <v>84</v>
      </c>
      <c r="E4" s="4">
        <f>342</f>
        <v>342</v>
      </c>
      <c r="F4" s="4">
        <f>256</f>
        <v>256</v>
      </c>
      <c r="G4" s="4">
        <f>56</f>
        <v>56</v>
      </c>
      <c r="H4" s="4">
        <f>55</f>
        <v>55</v>
      </c>
      <c r="I4" s="4">
        <f>87</f>
        <v>87</v>
      </c>
      <c r="J4" s="4">
        <f>151</f>
        <v>151</v>
      </c>
      <c r="K4" s="4">
        <f>159</f>
        <v>159</v>
      </c>
      <c r="L4" s="4">
        <f>298</f>
        <v>298</v>
      </c>
      <c r="M4" s="4">
        <f>348</f>
        <v>348</v>
      </c>
    </row>
    <row r="5" spans="1:13">
      <c r="A5" s="3" t="s">
        <v>16</v>
      </c>
      <c r="B5" s="3">
        <f>53</f>
        <v>53</v>
      </c>
      <c r="C5" s="3">
        <f>327</f>
        <v>327</v>
      </c>
      <c r="D5" s="3">
        <f>141</f>
        <v>141</v>
      </c>
      <c r="E5" s="3">
        <f>406</f>
        <v>406</v>
      </c>
      <c r="F5" s="3">
        <f>372</f>
        <v>372</v>
      </c>
      <c r="G5" s="3">
        <f>399</f>
        <v>399</v>
      </c>
      <c r="H5" s="3">
        <f>319</f>
        <v>319</v>
      </c>
      <c r="I5" s="3">
        <f>254</f>
        <v>254</v>
      </c>
      <c r="J5" s="3">
        <f>152</f>
        <v>152</v>
      </c>
      <c r="K5" s="3">
        <f>269</f>
        <v>269</v>
      </c>
      <c r="L5" s="3">
        <f>341</f>
        <v>341</v>
      </c>
      <c r="M5" s="3">
        <f>182</f>
        <v>182</v>
      </c>
    </row>
    <row r="6" spans="1:13">
      <c r="A6" s="4" t="s">
        <v>17</v>
      </c>
      <c r="B6" s="5">
        <v>5</v>
      </c>
      <c r="C6" s="5">
        <v>25</v>
      </c>
      <c r="D6" s="5">
        <v>94</v>
      </c>
      <c r="E6" s="5">
        <v>59</v>
      </c>
      <c r="F6" s="5">
        <v>48</v>
      </c>
      <c r="G6" s="5">
        <v>40</v>
      </c>
      <c r="H6" s="5">
        <v>24</v>
      </c>
      <c r="I6" s="5">
        <v>32</v>
      </c>
      <c r="J6" s="5">
        <v>48</v>
      </c>
      <c r="K6" s="5">
        <v>18</v>
      </c>
      <c r="L6" s="5">
        <v>16</v>
      </c>
      <c r="M6" s="5">
        <v>53</v>
      </c>
    </row>
    <row r="7" spans="1:13">
      <c r="A7" s="3" t="s">
        <v>18</v>
      </c>
      <c r="B7" s="6">
        <v>17</v>
      </c>
      <c r="C7" s="6">
        <v>50</v>
      </c>
      <c r="D7" s="6">
        <v>49</v>
      </c>
      <c r="E7" s="6">
        <v>82</v>
      </c>
      <c r="F7" s="6">
        <v>38</v>
      </c>
      <c r="G7" s="6">
        <v>10</v>
      </c>
      <c r="H7" s="6">
        <v>98</v>
      </c>
      <c r="I7" s="6">
        <v>63</v>
      </c>
      <c r="J7" s="6">
        <v>73</v>
      </c>
      <c r="K7" s="6">
        <v>20</v>
      </c>
      <c r="L7" s="6">
        <v>53</v>
      </c>
      <c r="M7" s="6">
        <v>15</v>
      </c>
    </row>
    <row r="8" spans="1:13">
      <c r="A8" s="4" t="s">
        <v>19</v>
      </c>
      <c r="B8" s="5">
        <v>75</v>
      </c>
      <c r="C8" s="5">
        <v>42</v>
      </c>
      <c r="D8" s="5">
        <v>85</v>
      </c>
      <c r="E8" s="5">
        <v>84</v>
      </c>
      <c r="F8" s="5">
        <v>51</v>
      </c>
      <c r="G8" s="5">
        <v>78</v>
      </c>
      <c r="H8" s="5">
        <v>29</v>
      </c>
      <c r="I8" s="5">
        <v>95</v>
      </c>
      <c r="J8" s="5">
        <v>13</v>
      </c>
      <c r="K8" s="5">
        <v>10</v>
      </c>
      <c r="L8" s="5">
        <v>89</v>
      </c>
      <c r="M8" s="5">
        <v>34</v>
      </c>
    </row>
    <row r="9" spans="1:13">
      <c r="A9" s="3" t="s">
        <v>20</v>
      </c>
      <c r="B9" s="6">
        <v>42</v>
      </c>
      <c r="C9" s="6">
        <v>15</v>
      </c>
      <c r="D9" s="6">
        <v>34</v>
      </c>
      <c r="E9" s="6">
        <v>17</v>
      </c>
      <c r="F9" s="6">
        <v>53</v>
      </c>
      <c r="G9" s="6">
        <v>40</v>
      </c>
      <c r="H9" s="6">
        <v>63</v>
      </c>
      <c r="I9" s="6">
        <v>86</v>
      </c>
      <c r="J9" s="6">
        <v>51</v>
      </c>
      <c r="K9" s="6">
        <v>25</v>
      </c>
      <c r="L9" s="6">
        <v>52</v>
      </c>
      <c r="M9" s="6">
        <v>50</v>
      </c>
    </row>
    <row r="10" spans="1:13">
      <c r="A10" s="4" t="s">
        <v>21</v>
      </c>
      <c r="B10" s="5">
        <v>31</v>
      </c>
      <c r="C10" s="5">
        <v>90</v>
      </c>
      <c r="D10" s="5">
        <v>39</v>
      </c>
      <c r="E10" s="5">
        <v>94</v>
      </c>
      <c r="F10" s="5">
        <v>92</v>
      </c>
      <c r="G10" s="5">
        <v>87</v>
      </c>
      <c r="H10" s="5">
        <v>14</v>
      </c>
      <c r="I10" s="5">
        <v>82</v>
      </c>
      <c r="J10" s="5">
        <v>86</v>
      </c>
      <c r="K10" s="5">
        <v>26</v>
      </c>
      <c r="L10" s="5">
        <v>73</v>
      </c>
      <c r="M10" s="5">
        <v>98</v>
      </c>
    </row>
    <row r="11" spans="1:13">
      <c r="A11" s="3" t="s">
        <v>22</v>
      </c>
      <c r="B11" s="6">
        <v>36</v>
      </c>
      <c r="C11" s="6">
        <v>25</v>
      </c>
      <c r="D11" s="6">
        <v>64</v>
      </c>
      <c r="E11" s="6">
        <v>53</v>
      </c>
      <c r="F11" s="6">
        <v>39</v>
      </c>
      <c r="G11" s="6">
        <v>86</v>
      </c>
      <c r="H11" s="6">
        <v>93</v>
      </c>
      <c r="I11" s="6">
        <v>76</v>
      </c>
      <c r="J11" s="6">
        <v>33</v>
      </c>
      <c r="K11" s="6">
        <v>92</v>
      </c>
      <c r="L11" s="6">
        <v>46</v>
      </c>
      <c r="M11" s="6">
        <v>12</v>
      </c>
    </row>
    <row r="12" spans="1:13">
      <c r="A12" s="4" t="s">
        <v>23</v>
      </c>
      <c r="B12" s="5">
        <v>34</v>
      </c>
      <c r="C12" s="5">
        <v>9</v>
      </c>
      <c r="D12" s="5">
        <v>45</v>
      </c>
      <c r="E12" s="5">
        <v>56</v>
      </c>
      <c r="F12" s="5">
        <v>39</v>
      </c>
      <c r="G12" s="5">
        <v>13</v>
      </c>
      <c r="H12" s="5">
        <v>32</v>
      </c>
      <c r="I12" s="5">
        <v>77</v>
      </c>
      <c r="J12" s="5">
        <v>96</v>
      </c>
      <c r="K12" s="5">
        <v>45</v>
      </c>
      <c r="L12" s="5">
        <v>32</v>
      </c>
      <c r="M12" s="5">
        <v>88</v>
      </c>
    </row>
    <row r="13" spans="1:13">
      <c r="A13" s="3" t="s">
        <v>24</v>
      </c>
      <c r="B13" s="6">
        <v>68</v>
      </c>
      <c r="C13" s="6">
        <v>55</v>
      </c>
      <c r="D13" s="6">
        <v>87</v>
      </c>
      <c r="E13" s="6">
        <v>63</v>
      </c>
      <c r="F13" s="6">
        <v>23</v>
      </c>
      <c r="G13" s="6">
        <v>38</v>
      </c>
      <c r="H13" s="6">
        <v>22</v>
      </c>
      <c r="I13" s="6">
        <v>36</v>
      </c>
      <c r="J13" s="6">
        <v>100</v>
      </c>
      <c r="K13" s="6">
        <v>76</v>
      </c>
      <c r="L13" s="6">
        <v>73</v>
      </c>
      <c r="M13" s="6">
        <v>38</v>
      </c>
    </row>
    <row r="14" spans="1:13">
      <c r="A14" s="4" t="s">
        <v>25</v>
      </c>
      <c r="B14" s="5">
        <v>100</v>
      </c>
      <c r="C14" s="5">
        <v>79</v>
      </c>
      <c r="D14" s="5">
        <v>59</v>
      </c>
      <c r="E14" s="5">
        <v>79</v>
      </c>
      <c r="F14" s="5">
        <v>56</v>
      </c>
      <c r="G14" s="5">
        <v>51</v>
      </c>
      <c r="H14" s="5">
        <v>33</v>
      </c>
      <c r="I14" s="5">
        <v>22</v>
      </c>
      <c r="J14" s="5">
        <v>70</v>
      </c>
      <c r="K14" s="5">
        <v>68</v>
      </c>
      <c r="L14" s="5">
        <v>16</v>
      </c>
      <c r="M14" s="5">
        <v>11</v>
      </c>
    </row>
    <row r="15" spans="1:13">
      <c r="A15" s="3" t="s">
        <v>26</v>
      </c>
      <c r="B15" s="6">
        <v>19</v>
      </c>
      <c r="C15" s="6">
        <v>24</v>
      </c>
      <c r="D15" s="6">
        <v>85</v>
      </c>
      <c r="E15" s="6">
        <v>25</v>
      </c>
      <c r="F15" s="6">
        <v>92</v>
      </c>
      <c r="G15" s="6">
        <v>59</v>
      </c>
      <c r="H15" s="6">
        <v>81</v>
      </c>
      <c r="I15" s="6">
        <v>13</v>
      </c>
      <c r="J15" s="6">
        <v>54</v>
      </c>
      <c r="K15" s="6">
        <v>53</v>
      </c>
      <c r="L15" s="6">
        <v>81</v>
      </c>
      <c r="M15" s="6">
        <v>64</v>
      </c>
    </row>
    <row r="16" spans="1:13">
      <c r="A16" s="4" t="s">
        <v>27</v>
      </c>
      <c r="B16" s="5">
        <v>72</v>
      </c>
      <c r="C16" s="5">
        <v>37</v>
      </c>
      <c r="D16" s="5">
        <v>75</v>
      </c>
      <c r="E16" s="5">
        <v>6</v>
      </c>
      <c r="F16" s="5">
        <v>92</v>
      </c>
      <c r="G16" s="5">
        <v>97</v>
      </c>
      <c r="H16" s="5">
        <v>19</v>
      </c>
      <c r="I16" s="5">
        <v>92</v>
      </c>
      <c r="J16" s="5">
        <v>73</v>
      </c>
      <c r="K16" s="5">
        <v>39</v>
      </c>
      <c r="L16" s="5">
        <v>87</v>
      </c>
      <c r="M16" s="5">
        <v>48</v>
      </c>
    </row>
    <row r="17" spans="1:13">
      <c r="A17" s="3" t="s">
        <v>28</v>
      </c>
      <c r="B17" s="6">
        <v>19</v>
      </c>
      <c r="C17" s="6">
        <v>42</v>
      </c>
      <c r="D17" s="6">
        <v>60</v>
      </c>
      <c r="E17" s="6">
        <v>25</v>
      </c>
      <c r="F17" s="6">
        <v>63</v>
      </c>
      <c r="G17" s="6">
        <v>5</v>
      </c>
      <c r="H17" s="6">
        <v>97</v>
      </c>
      <c r="I17" s="6">
        <v>97</v>
      </c>
      <c r="J17" s="6">
        <v>38</v>
      </c>
      <c r="K17" s="6">
        <v>69</v>
      </c>
      <c r="L17" s="6">
        <v>27</v>
      </c>
      <c r="M17" s="6">
        <v>69</v>
      </c>
    </row>
    <row r="18" spans="1:13">
      <c r="A18" s="4" t="s">
        <v>29</v>
      </c>
      <c r="B18" s="5">
        <v>18</v>
      </c>
      <c r="C18" s="5">
        <v>85</v>
      </c>
      <c r="D18" s="5">
        <v>43</v>
      </c>
      <c r="E18" s="5">
        <v>86</v>
      </c>
      <c r="F18" s="5">
        <v>69</v>
      </c>
      <c r="G18" s="5">
        <v>82</v>
      </c>
      <c r="H18" s="5">
        <v>30</v>
      </c>
      <c r="I18" s="5">
        <v>24</v>
      </c>
      <c r="J18" s="5">
        <v>52</v>
      </c>
      <c r="K18" s="5">
        <v>25</v>
      </c>
      <c r="L18" s="5">
        <v>74</v>
      </c>
      <c r="M18" s="5">
        <v>72</v>
      </c>
    </row>
    <row r="19" spans="1:13">
      <c r="A19" s="3" t="s">
        <v>30</v>
      </c>
      <c r="B19" s="6">
        <v>5</v>
      </c>
      <c r="C19" s="6">
        <v>81</v>
      </c>
      <c r="D19" s="6">
        <v>46</v>
      </c>
      <c r="E19" s="6">
        <v>67</v>
      </c>
      <c r="F19" s="6">
        <v>7</v>
      </c>
      <c r="G19" s="6">
        <v>19</v>
      </c>
      <c r="H19" s="6">
        <v>51</v>
      </c>
      <c r="I19" s="6">
        <v>44</v>
      </c>
      <c r="J19" s="6">
        <v>35</v>
      </c>
      <c r="K19" s="6">
        <v>12</v>
      </c>
      <c r="L19" s="6">
        <v>35</v>
      </c>
      <c r="M19" s="6">
        <v>77</v>
      </c>
    </row>
    <row r="20" spans="1:13">
      <c r="A20" s="4" t="s">
        <v>31</v>
      </c>
      <c r="B20" s="5">
        <v>15</v>
      </c>
      <c r="C20" s="5">
        <v>15</v>
      </c>
      <c r="D20" s="5">
        <v>98</v>
      </c>
      <c r="E20" s="5">
        <v>67</v>
      </c>
      <c r="F20" s="5">
        <v>13</v>
      </c>
      <c r="G20" s="5">
        <v>73</v>
      </c>
      <c r="H20" s="5">
        <v>21</v>
      </c>
      <c r="I20" s="5">
        <v>21</v>
      </c>
      <c r="J20" s="5">
        <v>89</v>
      </c>
      <c r="K20" s="5">
        <v>65</v>
      </c>
      <c r="L20" s="5">
        <v>75</v>
      </c>
      <c r="M20" s="5">
        <v>26</v>
      </c>
    </row>
    <row r="21" spans="1:13">
      <c r="A21" s="3" t="s">
        <v>32</v>
      </c>
      <c r="B21" s="6">
        <v>38</v>
      </c>
      <c r="C21" s="6">
        <v>72</v>
      </c>
      <c r="D21" s="6">
        <v>82</v>
      </c>
      <c r="E21" s="6">
        <v>59</v>
      </c>
      <c r="F21" s="6">
        <v>32</v>
      </c>
      <c r="G21" s="6">
        <v>74</v>
      </c>
      <c r="H21" s="6">
        <v>98</v>
      </c>
      <c r="I21" s="6">
        <v>93</v>
      </c>
      <c r="J21" s="6">
        <v>30</v>
      </c>
      <c r="K21" s="6">
        <v>96</v>
      </c>
      <c r="L21" s="6">
        <v>44</v>
      </c>
      <c r="M21" s="6">
        <v>56</v>
      </c>
    </row>
    <row r="22" spans="1:13">
      <c r="A22" s="4" t="s">
        <v>33</v>
      </c>
      <c r="B22" s="5">
        <v>90</v>
      </c>
      <c r="C22" s="5">
        <v>88</v>
      </c>
      <c r="D22" s="5">
        <v>52</v>
      </c>
      <c r="E22" s="5">
        <v>61</v>
      </c>
      <c r="F22" s="5">
        <v>71</v>
      </c>
      <c r="G22" s="5">
        <v>62</v>
      </c>
      <c r="H22" s="5">
        <v>20</v>
      </c>
      <c r="I22" s="5">
        <v>36</v>
      </c>
      <c r="J22" s="5">
        <v>33</v>
      </c>
      <c r="K22" s="5">
        <v>13</v>
      </c>
      <c r="L22" s="5">
        <v>48</v>
      </c>
      <c r="M22" s="5">
        <v>7</v>
      </c>
    </row>
    <row r="23" spans="1:13">
      <c r="A23" s="3" t="s">
        <v>34</v>
      </c>
      <c r="B23" s="6">
        <v>80</v>
      </c>
      <c r="C23" s="6">
        <v>75</v>
      </c>
      <c r="D23" s="6">
        <v>34</v>
      </c>
      <c r="E23" s="6">
        <v>80</v>
      </c>
      <c r="F23" s="6">
        <v>33</v>
      </c>
      <c r="G23" s="6">
        <v>5</v>
      </c>
      <c r="H23" s="6">
        <v>14</v>
      </c>
      <c r="I23" s="6">
        <v>95</v>
      </c>
      <c r="J23" s="6">
        <v>85</v>
      </c>
      <c r="K23" s="6">
        <v>12</v>
      </c>
      <c r="L23" s="6">
        <v>34</v>
      </c>
      <c r="M23" s="6">
        <v>13</v>
      </c>
    </row>
    <row r="24" spans="1:13">
      <c r="A24" s="4" t="s">
        <v>35</v>
      </c>
      <c r="B24" s="5">
        <v>9</v>
      </c>
      <c r="C24" s="5">
        <v>47</v>
      </c>
      <c r="D24" s="5">
        <v>14</v>
      </c>
      <c r="E24" s="5">
        <v>70</v>
      </c>
      <c r="F24" s="5">
        <v>35</v>
      </c>
      <c r="G24" s="5">
        <v>40</v>
      </c>
      <c r="H24" s="5">
        <v>90</v>
      </c>
      <c r="I24" s="5">
        <v>67</v>
      </c>
      <c r="J24" s="5">
        <v>32</v>
      </c>
      <c r="K24" s="5">
        <v>74</v>
      </c>
      <c r="L24" s="5">
        <v>21</v>
      </c>
      <c r="M24" s="5">
        <v>97</v>
      </c>
    </row>
    <row r="25" spans="1:13">
      <c r="A25" s="3" t="s">
        <v>36</v>
      </c>
      <c r="B25" s="6">
        <v>78</v>
      </c>
      <c r="C25" s="6">
        <v>78</v>
      </c>
      <c r="D25" s="6">
        <v>65</v>
      </c>
      <c r="E25" s="6">
        <v>36</v>
      </c>
      <c r="F25" s="6">
        <v>65</v>
      </c>
      <c r="G25" s="6">
        <v>57</v>
      </c>
      <c r="H25" s="6">
        <v>29</v>
      </c>
      <c r="I25" s="6">
        <v>17</v>
      </c>
      <c r="J25" s="6">
        <v>17</v>
      </c>
      <c r="K25" s="6">
        <v>89</v>
      </c>
      <c r="L25" s="6">
        <v>60</v>
      </c>
      <c r="M25" s="6">
        <v>50</v>
      </c>
    </row>
    <row r="26" spans="1:13">
      <c r="A26" s="4" t="s">
        <v>37</v>
      </c>
      <c r="B26" s="5">
        <v>59</v>
      </c>
      <c r="C26" s="5">
        <v>57</v>
      </c>
      <c r="D26" s="5">
        <v>64</v>
      </c>
      <c r="E26" s="5">
        <v>98</v>
      </c>
      <c r="F26" s="5">
        <v>11</v>
      </c>
      <c r="G26" s="5">
        <v>91</v>
      </c>
      <c r="H26" s="5">
        <v>88</v>
      </c>
      <c r="I26" s="5">
        <v>87</v>
      </c>
      <c r="J26" s="5">
        <v>17</v>
      </c>
      <c r="K26" s="5">
        <v>12</v>
      </c>
      <c r="L26" s="5">
        <v>56</v>
      </c>
      <c r="M26" s="5">
        <v>98</v>
      </c>
    </row>
    <row r="27" spans="1:13">
      <c r="A27" s="3" t="s">
        <v>38</v>
      </c>
      <c r="B27" s="6">
        <v>48</v>
      </c>
      <c r="C27" s="6">
        <v>18</v>
      </c>
      <c r="D27" s="6">
        <v>36</v>
      </c>
      <c r="E27" s="6">
        <v>29</v>
      </c>
      <c r="F27" s="6">
        <v>29</v>
      </c>
      <c r="G27" s="6">
        <v>73</v>
      </c>
      <c r="H27" s="6">
        <v>62</v>
      </c>
      <c r="I27" s="6">
        <v>22</v>
      </c>
      <c r="J27" s="6">
        <v>59</v>
      </c>
      <c r="K27" s="6">
        <v>28</v>
      </c>
      <c r="L27" s="6">
        <v>40</v>
      </c>
      <c r="M27" s="6">
        <v>64</v>
      </c>
    </row>
    <row r="28" spans="1:13">
      <c r="A28" s="4" t="s">
        <v>39</v>
      </c>
      <c r="B28" s="5">
        <v>36</v>
      </c>
      <c r="C28" s="5">
        <v>14</v>
      </c>
      <c r="D28" s="5">
        <v>61</v>
      </c>
      <c r="E28" s="5">
        <v>75</v>
      </c>
      <c r="F28" s="5">
        <v>17</v>
      </c>
      <c r="G28" s="5">
        <v>11</v>
      </c>
      <c r="H28" s="5">
        <v>88</v>
      </c>
      <c r="I28" s="5">
        <v>74</v>
      </c>
      <c r="J28" s="5">
        <v>6</v>
      </c>
      <c r="K28" s="5">
        <v>16</v>
      </c>
      <c r="L28" s="5">
        <v>35</v>
      </c>
      <c r="M28" s="5">
        <v>26</v>
      </c>
    </row>
    <row r="29" spans="1:13">
      <c r="A29" s="3" t="s">
        <v>40</v>
      </c>
      <c r="B29" s="6">
        <v>57</v>
      </c>
      <c r="C29" s="6">
        <v>67</v>
      </c>
      <c r="D29" s="6">
        <v>66</v>
      </c>
      <c r="E29" s="6">
        <v>32</v>
      </c>
      <c r="F29" s="6">
        <v>56</v>
      </c>
      <c r="G29" s="6">
        <v>12</v>
      </c>
      <c r="H29" s="6">
        <v>26</v>
      </c>
      <c r="I29" s="6">
        <v>53</v>
      </c>
      <c r="J29" s="6">
        <v>5</v>
      </c>
      <c r="K29" s="6">
        <v>54</v>
      </c>
      <c r="L29" s="6">
        <v>38</v>
      </c>
      <c r="M29" s="6">
        <v>63</v>
      </c>
    </row>
    <row r="30" spans="1:13">
      <c r="A30" s="4" t="s">
        <v>41</v>
      </c>
      <c r="B30" s="5">
        <v>41</v>
      </c>
      <c r="C30" s="5">
        <v>59</v>
      </c>
      <c r="D30" s="5">
        <v>94</v>
      </c>
      <c r="E30" s="5">
        <v>98</v>
      </c>
      <c r="F30" s="5">
        <v>76</v>
      </c>
      <c r="G30" s="5">
        <v>89</v>
      </c>
      <c r="H30" s="5">
        <v>96</v>
      </c>
      <c r="I30" s="5">
        <v>67</v>
      </c>
      <c r="J30" s="5">
        <v>24</v>
      </c>
      <c r="K30" s="5">
        <v>29</v>
      </c>
      <c r="L30" s="5">
        <v>42</v>
      </c>
      <c r="M30" s="5">
        <v>32</v>
      </c>
    </row>
    <row r="31" spans="1:13">
      <c r="A31" s="3" t="s">
        <v>42</v>
      </c>
      <c r="B31" s="6">
        <v>12</v>
      </c>
      <c r="C31" s="6">
        <v>79</v>
      </c>
      <c r="D31" s="6">
        <v>99</v>
      </c>
      <c r="E31" s="6">
        <v>74</v>
      </c>
      <c r="F31" s="6">
        <v>12</v>
      </c>
      <c r="G31" s="6">
        <v>100</v>
      </c>
      <c r="H31" s="6">
        <v>45</v>
      </c>
      <c r="I31" s="6">
        <v>12</v>
      </c>
      <c r="J31" s="6">
        <v>11</v>
      </c>
      <c r="K31" s="6">
        <v>79</v>
      </c>
      <c r="L31" s="6">
        <v>66</v>
      </c>
      <c r="M31" s="6">
        <v>69</v>
      </c>
    </row>
    <row r="32" spans="1:13">
      <c r="A32" s="7" t="s">
        <v>43</v>
      </c>
      <c r="B32" s="8">
        <v>72</v>
      </c>
      <c r="C32" s="8">
        <v>25</v>
      </c>
      <c r="D32" s="8">
        <v>12</v>
      </c>
      <c r="E32" s="8">
        <v>70</v>
      </c>
      <c r="F32" s="8">
        <v>15</v>
      </c>
      <c r="G32" s="8">
        <v>28</v>
      </c>
      <c r="H32" s="8">
        <v>13</v>
      </c>
      <c r="I32" s="8">
        <v>81</v>
      </c>
      <c r="J32" s="8">
        <v>13</v>
      </c>
      <c r="K32" s="8">
        <v>91</v>
      </c>
      <c r="L32" s="8">
        <v>35</v>
      </c>
      <c r="M32" s="8">
        <v>56</v>
      </c>
    </row>
    <row r="33" spans="1:13">
      <c r="A33" s="7" t="s">
        <v>44</v>
      </c>
      <c r="B33" s="8">
        <v>20</v>
      </c>
      <c r="C33" s="8">
        <v>77</v>
      </c>
      <c r="D33" s="8">
        <v>36</v>
      </c>
      <c r="E33" s="8">
        <v>79</v>
      </c>
      <c r="F33" s="8">
        <v>81</v>
      </c>
      <c r="G33" s="8">
        <v>10</v>
      </c>
      <c r="H33" s="8">
        <v>84</v>
      </c>
      <c r="I33" s="8">
        <v>15</v>
      </c>
      <c r="J33" s="8">
        <v>58</v>
      </c>
      <c r="K33" s="8">
        <v>89</v>
      </c>
      <c r="L33" s="8">
        <v>79</v>
      </c>
      <c r="M33" s="8">
        <v>77</v>
      </c>
    </row>
    <row r="34" spans="1:13">
      <c r="A34" s="7" t="s">
        <v>45</v>
      </c>
      <c r="B34" s="7" t="str">
        <f>SUM(B3:B30)</f>
        <v>sum</v>
      </c>
      <c r="C34" s="7" t="str">
        <f>SUM(C3:C30)</f>
        <v>sum</v>
      </c>
      <c r="D34" s="7" t="str">
        <f>SUM(D3:D30)</f>
        <v>sum</v>
      </c>
      <c r="E34" s="7" t="str">
        <f>SUM(E3:E30)</f>
        <v>sum</v>
      </c>
      <c r="F34" s="7" t="str">
        <f>SUM(F3:F30)</f>
        <v>sum</v>
      </c>
      <c r="G34" s="7" t="str">
        <f>SUM(G3:G30)</f>
        <v>sum</v>
      </c>
      <c r="H34" s="7" t="str">
        <f>SUM(H3:H30)</f>
        <v>sum</v>
      </c>
      <c r="I34" s="7" t="str">
        <f>SUM(I3:I30)</f>
        <v>sum</v>
      </c>
      <c r="J34" s="7" t="str">
        <f>SUM(J3:J30)</f>
        <v>sum</v>
      </c>
      <c r="K34" s="7" t="str">
        <f>SUM(K3:K30)</f>
        <v>sum</v>
      </c>
      <c r="L34" s="7" t="str">
        <f>SUM(L3:L30)</f>
        <v>sum</v>
      </c>
      <c r="M34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13" width="19.7109375" customWidth="1"/>
  </cols>
  <sheetData>
    <row r="1" spans="1:13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307</f>
        <v>307</v>
      </c>
      <c r="C3" s="3">
        <f>201</f>
        <v>201</v>
      </c>
      <c r="D3" s="3">
        <f>173</f>
        <v>173</v>
      </c>
      <c r="E3" s="3">
        <f>144</f>
        <v>144</v>
      </c>
      <c r="F3" s="3">
        <f>382</f>
        <v>382</v>
      </c>
      <c r="G3" s="3">
        <f>406</f>
        <v>406</v>
      </c>
      <c r="H3" s="3">
        <f>200</f>
        <v>200</v>
      </c>
      <c r="I3" s="3">
        <f>162</f>
        <v>162</v>
      </c>
      <c r="J3" s="3">
        <f>175</f>
        <v>175</v>
      </c>
      <c r="K3" s="3">
        <f>242</f>
        <v>242</v>
      </c>
      <c r="L3" s="3">
        <f>107</f>
        <v>107</v>
      </c>
      <c r="M3" s="3">
        <f>383</f>
        <v>383</v>
      </c>
    </row>
    <row r="4" spans="1:13">
      <c r="A4" s="4" t="s">
        <v>15</v>
      </c>
      <c r="B4" s="4">
        <f>370</f>
        <v>370</v>
      </c>
      <c r="C4" s="4">
        <f>193</f>
        <v>193</v>
      </c>
      <c r="D4" s="4">
        <f>274</f>
        <v>274</v>
      </c>
      <c r="E4" s="4">
        <f>201</f>
        <v>201</v>
      </c>
      <c r="F4" s="4">
        <f>424</f>
        <v>424</v>
      </c>
      <c r="G4" s="4">
        <f>77</f>
        <v>77</v>
      </c>
      <c r="H4" s="4">
        <f>44</f>
        <v>44</v>
      </c>
      <c r="I4" s="4">
        <f>274</f>
        <v>274</v>
      </c>
      <c r="J4" s="4">
        <f>358</f>
        <v>358</v>
      </c>
      <c r="K4" s="4">
        <f>328</f>
        <v>328</v>
      </c>
      <c r="L4" s="4">
        <f>91</f>
        <v>91</v>
      </c>
      <c r="M4" s="4">
        <f>77</f>
        <v>77</v>
      </c>
    </row>
    <row r="5" spans="1:13">
      <c r="A5" s="3" t="s">
        <v>16</v>
      </c>
      <c r="B5" s="3">
        <f>315</f>
        <v>315</v>
      </c>
      <c r="C5" s="3">
        <f>149</f>
        <v>149</v>
      </c>
      <c r="D5" s="3">
        <f>299</f>
        <v>299</v>
      </c>
      <c r="E5" s="3">
        <f>175</f>
        <v>175</v>
      </c>
      <c r="F5" s="3">
        <f>107</f>
        <v>107</v>
      </c>
      <c r="G5" s="3">
        <f>218</f>
        <v>218</v>
      </c>
      <c r="H5" s="3">
        <f>491</f>
        <v>491</v>
      </c>
      <c r="I5" s="3">
        <f>75</f>
        <v>75</v>
      </c>
      <c r="J5" s="3">
        <f>490</f>
        <v>490</v>
      </c>
      <c r="K5" s="3">
        <f>165</f>
        <v>165</v>
      </c>
      <c r="L5" s="3">
        <f>229</f>
        <v>229</v>
      </c>
      <c r="M5" s="3">
        <f>185</f>
        <v>185</v>
      </c>
    </row>
    <row r="6" spans="1:13">
      <c r="A6" s="4" t="s">
        <v>47</v>
      </c>
      <c r="B6" s="4">
        <f>120</f>
        <v>120</v>
      </c>
      <c r="C6" s="4">
        <f>264</f>
        <v>264</v>
      </c>
      <c r="D6" s="4">
        <f>466</f>
        <v>466</v>
      </c>
      <c r="E6" s="4">
        <f>318</f>
        <v>318</v>
      </c>
      <c r="F6" s="4">
        <f>400</f>
        <v>400</v>
      </c>
      <c r="G6" s="4">
        <f>194</f>
        <v>194</v>
      </c>
      <c r="H6" s="4">
        <f>353</f>
        <v>353</v>
      </c>
      <c r="I6" s="4">
        <f>453</f>
        <v>453</v>
      </c>
      <c r="J6" s="4">
        <f>374</f>
        <v>374</v>
      </c>
      <c r="K6" s="4">
        <f>310</f>
        <v>310</v>
      </c>
      <c r="L6" s="4">
        <f>44</f>
        <v>44</v>
      </c>
      <c r="M6" s="4">
        <f>381</f>
        <v>381</v>
      </c>
    </row>
    <row r="7" spans="1:13">
      <c r="A7" s="3" t="s">
        <v>17</v>
      </c>
      <c r="B7" s="6">
        <v>75</v>
      </c>
      <c r="C7" s="6">
        <v>43</v>
      </c>
      <c r="D7" s="6">
        <v>89</v>
      </c>
      <c r="E7" s="6">
        <v>18</v>
      </c>
      <c r="F7" s="6">
        <v>22</v>
      </c>
      <c r="G7" s="6">
        <v>38</v>
      </c>
      <c r="H7" s="6">
        <v>19</v>
      </c>
      <c r="I7" s="6">
        <v>18</v>
      </c>
      <c r="J7" s="6">
        <v>100</v>
      </c>
      <c r="K7" s="6">
        <v>75</v>
      </c>
      <c r="L7" s="6">
        <v>24</v>
      </c>
      <c r="M7" s="6">
        <v>39</v>
      </c>
    </row>
    <row r="8" spans="1:13">
      <c r="A8" s="4" t="s">
        <v>18</v>
      </c>
      <c r="B8" s="5">
        <v>41</v>
      </c>
      <c r="C8" s="5">
        <v>82</v>
      </c>
      <c r="D8" s="5">
        <v>31</v>
      </c>
      <c r="E8" s="5">
        <v>96</v>
      </c>
      <c r="F8" s="5">
        <v>48</v>
      </c>
      <c r="G8" s="5">
        <v>31</v>
      </c>
      <c r="H8" s="5">
        <v>92</v>
      </c>
      <c r="I8" s="5">
        <v>86</v>
      </c>
      <c r="J8" s="5">
        <v>38</v>
      </c>
      <c r="K8" s="5">
        <v>69</v>
      </c>
      <c r="L8" s="5">
        <v>67</v>
      </c>
      <c r="M8" s="5">
        <v>37</v>
      </c>
    </row>
    <row r="9" spans="1:13">
      <c r="A9" s="3" t="s">
        <v>19</v>
      </c>
      <c r="B9" s="6">
        <v>11</v>
      </c>
      <c r="C9" s="6">
        <v>16</v>
      </c>
      <c r="D9" s="6">
        <v>86</v>
      </c>
      <c r="E9" s="6">
        <v>59</v>
      </c>
      <c r="F9" s="6">
        <v>40</v>
      </c>
      <c r="G9" s="6">
        <v>10</v>
      </c>
      <c r="H9" s="6">
        <v>5</v>
      </c>
      <c r="I9" s="6">
        <v>47</v>
      </c>
      <c r="J9" s="6">
        <v>21</v>
      </c>
      <c r="K9" s="6">
        <v>86</v>
      </c>
      <c r="L9" s="6">
        <v>38</v>
      </c>
      <c r="M9" s="6">
        <v>25</v>
      </c>
    </row>
    <row r="10" spans="1:13">
      <c r="A10" s="4" t="s">
        <v>20</v>
      </c>
      <c r="B10" s="5">
        <v>99</v>
      </c>
      <c r="C10" s="5">
        <v>61</v>
      </c>
      <c r="D10" s="5">
        <v>75</v>
      </c>
      <c r="E10" s="5">
        <v>95</v>
      </c>
      <c r="F10" s="5">
        <v>59</v>
      </c>
      <c r="G10" s="5">
        <v>76</v>
      </c>
      <c r="H10" s="5">
        <v>6</v>
      </c>
      <c r="I10" s="5">
        <v>19</v>
      </c>
      <c r="J10" s="5">
        <v>14</v>
      </c>
      <c r="K10" s="5">
        <v>93</v>
      </c>
      <c r="L10" s="5">
        <v>24</v>
      </c>
      <c r="M10" s="5">
        <v>74</v>
      </c>
    </row>
    <row r="11" spans="1:13">
      <c r="A11" s="3" t="s">
        <v>21</v>
      </c>
      <c r="B11" s="6">
        <v>9</v>
      </c>
      <c r="C11" s="6">
        <v>52</v>
      </c>
      <c r="D11" s="6">
        <v>79</v>
      </c>
      <c r="E11" s="6">
        <v>75</v>
      </c>
      <c r="F11" s="6">
        <v>23</v>
      </c>
      <c r="G11" s="6">
        <v>60</v>
      </c>
      <c r="H11" s="6">
        <v>21</v>
      </c>
      <c r="I11" s="6">
        <v>10</v>
      </c>
      <c r="J11" s="6">
        <v>44</v>
      </c>
      <c r="K11" s="6">
        <v>51</v>
      </c>
      <c r="L11" s="6">
        <v>10</v>
      </c>
      <c r="M11" s="6">
        <v>50</v>
      </c>
    </row>
    <row r="12" spans="1:13">
      <c r="A12" s="4" t="s">
        <v>22</v>
      </c>
      <c r="B12" s="5">
        <v>31</v>
      </c>
      <c r="C12" s="5">
        <v>92</v>
      </c>
      <c r="D12" s="5">
        <v>36</v>
      </c>
      <c r="E12" s="5">
        <v>90</v>
      </c>
      <c r="F12" s="5">
        <v>18</v>
      </c>
      <c r="G12" s="5">
        <v>50</v>
      </c>
      <c r="H12" s="5">
        <v>76</v>
      </c>
      <c r="I12" s="5">
        <v>57</v>
      </c>
      <c r="J12" s="5">
        <v>84</v>
      </c>
      <c r="K12" s="5">
        <v>100</v>
      </c>
      <c r="L12" s="5">
        <v>24</v>
      </c>
      <c r="M12" s="5">
        <v>35</v>
      </c>
    </row>
    <row r="13" spans="1:13">
      <c r="A13" s="3" t="s">
        <v>23</v>
      </c>
      <c r="B13" s="6">
        <v>25</v>
      </c>
      <c r="C13" s="6">
        <v>27</v>
      </c>
      <c r="D13" s="6">
        <v>57</v>
      </c>
      <c r="E13" s="6">
        <v>8</v>
      </c>
      <c r="F13" s="6">
        <v>27</v>
      </c>
      <c r="G13" s="6">
        <v>99</v>
      </c>
      <c r="H13" s="6">
        <v>47</v>
      </c>
      <c r="I13" s="6">
        <v>57</v>
      </c>
      <c r="J13" s="6">
        <v>90</v>
      </c>
      <c r="K13" s="6">
        <v>99</v>
      </c>
      <c r="L13" s="6">
        <v>36</v>
      </c>
      <c r="M13" s="6">
        <v>39</v>
      </c>
    </row>
    <row r="14" spans="1:13">
      <c r="A14" s="4" t="s">
        <v>24</v>
      </c>
      <c r="B14" s="5">
        <v>25</v>
      </c>
      <c r="C14" s="5">
        <v>94</v>
      </c>
      <c r="D14" s="5">
        <v>18</v>
      </c>
      <c r="E14" s="5">
        <v>53</v>
      </c>
      <c r="F14" s="5">
        <v>9</v>
      </c>
      <c r="G14" s="5">
        <v>65</v>
      </c>
      <c r="H14" s="5">
        <v>33</v>
      </c>
      <c r="I14" s="5">
        <v>30</v>
      </c>
      <c r="J14" s="5">
        <v>63</v>
      </c>
      <c r="K14" s="5">
        <v>49</v>
      </c>
      <c r="L14" s="5">
        <v>44</v>
      </c>
      <c r="M14" s="5">
        <v>34</v>
      </c>
    </row>
    <row r="15" spans="1:13">
      <c r="A15" s="3" t="s">
        <v>25</v>
      </c>
      <c r="B15" s="6">
        <v>33</v>
      </c>
      <c r="C15" s="6">
        <v>8</v>
      </c>
      <c r="D15" s="6">
        <v>89</v>
      </c>
      <c r="E15" s="6">
        <v>29</v>
      </c>
      <c r="F15" s="6">
        <v>56</v>
      </c>
      <c r="G15" s="6">
        <v>47</v>
      </c>
      <c r="H15" s="6">
        <v>40</v>
      </c>
      <c r="I15" s="6">
        <v>13</v>
      </c>
      <c r="J15" s="6">
        <v>40</v>
      </c>
      <c r="K15" s="6">
        <v>49</v>
      </c>
      <c r="L15" s="6">
        <v>87</v>
      </c>
      <c r="M15" s="6">
        <v>70</v>
      </c>
    </row>
    <row r="16" spans="1:13">
      <c r="A16" s="4" t="s">
        <v>26</v>
      </c>
      <c r="B16" s="5">
        <v>56</v>
      </c>
      <c r="C16" s="5">
        <v>91</v>
      </c>
      <c r="D16" s="5">
        <v>73</v>
      </c>
      <c r="E16" s="5">
        <v>47</v>
      </c>
      <c r="F16" s="5">
        <v>8</v>
      </c>
      <c r="G16" s="5">
        <v>19</v>
      </c>
      <c r="H16" s="5">
        <v>38</v>
      </c>
      <c r="I16" s="5">
        <v>27</v>
      </c>
      <c r="J16" s="5">
        <v>79</v>
      </c>
      <c r="K16" s="5">
        <v>38</v>
      </c>
      <c r="L16" s="5">
        <v>9</v>
      </c>
      <c r="M16" s="5">
        <v>18</v>
      </c>
    </row>
    <row r="17" spans="1:13">
      <c r="A17" s="3" t="s">
        <v>27</v>
      </c>
      <c r="B17" s="6">
        <v>81</v>
      </c>
      <c r="C17" s="6">
        <v>60</v>
      </c>
      <c r="D17" s="6">
        <v>49</v>
      </c>
      <c r="E17" s="6">
        <v>98</v>
      </c>
      <c r="F17" s="6">
        <v>45</v>
      </c>
      <c r="G17" s="6">
        <v>60</v>
      </c>
      <c r="H17" s="6">
        <v>82</v>
      </c>
      <c r="I17" s="6">
        <v>70</v>
      </c>
      <c r="J17" s="6">
        <v>19</v>
      </c>
      <c r="K17" s="6">
        <v>54</v>
      </c>
      <c r="L17" s="6">
        <v>78</v>
      </c>
      <c r="M17" s="6">
        <v>29</v>
      </c>
    </row>
    <row r="18" spans="1:13">
      <c r="A18" s="4" t="s">
        <v>28</v>
      </c>
      <c r="B18" s="5">
        <v>37</v>
      </c>
      <c r="C18" s="5">
        <v>10</v>
      </c>
      <c r="D18" s="5">
        <v>95</v>
      </c>
      <c r="E18" s="5">
        <v>60</v>
      </c>
      <c r="F18" s="5">
        <v>5</v>
      </c>
      <c r="G18" s="5">
        <v>71</v>
      </c>
      <c r="H18" s="5">
        <v>73</v>
      </c>
      <c r="I18" s="5">
        <v>92</v>
      </c>
      <c r="J18" s="5">
        <v>97</v>
      </c>
      <c r="K18" s="5">
        <v>99</v>
      </c>
      <c r="L18" s="5">
        <v>99</v>
      </c>
      <c r="M18" s="5">
        <v>90</v>
      </c>
    </row>
    <row r="19" spans="1:13">
      <c r="A19" s="3" t="s">
        <v>29</v>
      </c>
      <c r="B19" s="6">
        <v>30</v>
      </c>
      <c r="C19" s="6">
        <v>51</v>
      </c>
      <c r="D19" s="6">
        <v>60</v>
      </c>
      <c r="E19" s="6">
        <v>13</v>
      </c>
      <c r="F19" s="6">
        <v>90</v>
      </c>
      <c r="G19" s="6">
        <v>47</v>
      </c>
      <c r="H19" s="6">
        <v>84</v>
      </c>
      <c r="I19" s="6">
        <v>45</v>
      </c>
      <c r="J19" s="6">
        <v>89</v>
      </c>
      <c r="K19" s="6">
        <v>20</v>
      </c>
      <c r="L19" s="6">
        <v>97</v>
      </c>
      <c r="M19" s="6">
        <v>43</v>
      </c>
    </row>
    <row r="20" spans="1:13">
      <c r="A20" s="4" t="s">
        <v>30</v>
      </c>
      <c r="B20" s="5">
        <v>69</v>
      </c>
      <c r="C20" s="5">
        <v>44</v>
      </c>
      <c r="D20" s="5">
        <v>90</v>
      </c>
      <c r="E20" s="5">
        <v>57</v>
      </c>
      <c r="F20" s="5">
        <v>46</v>
      </c>
      <c r="G20" s="5">
        <v>56</v>
      </c>
      <c r="H20" s="5">
        <v>94</v>
      </c>
      <c r="I20" s="5">
        <v>42</v>
      </c>
      <c r="J20" s="5">
        <v>75</v>
      </c>
      <c r="K20" s="5">
        <v>21</v>
      </c>
      <c r="L20" s="5">
        <v>29</v>
      </c>
      <c r="M20" s="5">
        <v>58</v>
      </c>
    </row>
    <row r="21" spans="1:13">
      <c r="A21" s="3" t="s">
        <v>31</v>
      </c>
      <c r="B21" s="6">
        <v>90</v>
      </c>
      <c r="C21" s="6">
        <v>53</v>
      </c>
      <c r="D21" s="6">
        <v>91</v>
      </c>
      <c r="E21" s="6">
        <v>100</v>
      </c>
      <c r="F21" s="6">
        <v>27</v>
      </c>
      <c r="G21" s="6">
        <v>83</v>
      </c>
      <c r="H21" s="6">
        <v>77</v>
      </c>
      <c r="I21" s="6">
        <v>43</v>
      </c>
      <c r="J21" s="6">
        <v>56</v>
      </c>
      <c r="K21" s="6">
        <v>75</v>
      </c>
      <c r="L21" s="6">
        <v>5</v>
      </c>
      <c r="M21" s="6">
        <v>43</v>
      </c>
    </row>
    <row r="22" spans="1:13">
      <c r="A22" s="4" t="s">
        <v>32</v>
      </c>
      <c r="B22" s="5">
        <v>41</v>
      </c>
      <c r="C22" s="5">
        <v>31</v>
      </c>
      <c r="D22" s="5">
        <v>60</v>
      </c>
      <c r="E22" s="5">
        <v>79</v>
      </c>
      <c r="F22" s="5">
        <v>82</v>
      </c>
      <c r="G22" s="5">
        <v>88</v>
      </c>
      <c r="H22" s="5">
        <v>46</v>
      </c>
      <c r="I22" s="5">
        <v>64</v>
      </c>
      <c r="J22" s="5">
        <v>61</v>
      </c>
      <c r="K22" s="5">
        <v>61</v>
      </c>
      <c r="L22" s="5">
        <v>91</v>
      </c>
      <c r="M22" s="5">
        <v>32</v>
      </c>
    </row>
    <row r="23" spans="1:13">
      <c r="A23" s="3" t="s">
        <v>33</v>
      </c>
      <c r="B23" s="6">
        <v>70</v>
      </c>
      <c r="C23" s="6">
        <v>65</v>
      </c>
      <c r="D23" s="6">
        <v>99</v>
      </c>
      <c r="E23" s="6">
        <v>26</v>
      </c>
      <c r="F23" s="6">
        <v>89</v>
      </c>
      <c r="G23" s="6">
        <v>15</v>
      </c>
      <c r="H23" s="6">
        <v>41</v>
      </c>
      <c r="I23" s="6">
        <v>70</v>
      </c>
      <c r="J23" s="6">
        <v>89</v>
      </c>
      <c r="K23" s="6">
        <v>86</v>
      </c>
      <c r="L23" s="6">
        <v>84</v>
      </c>
      <c r="M23" s="6">
        <v>47</v>
      </c>
    </row>
    <row r="24" spans="1:13">
      <c r="A24" s="4" t="s">
        <v>34</v>
      </c>
      <c r="B24" s="5">
        <v>16</v>
      </c>
      <c r="C24" s="5">
        <v>35</v>
      </c>
      <c r="D24" s="5">
        <v>91</v>
      </c>
      <c r="E24" s="5">
        <v>44</v>
      </c>
      <c r="F24" s="5">
        <v>33</v>
      </c>
      <c r="G24" s="5">
        <v>30</v>
      </c>
      <c r="H24" s="5">
        <v>23</v>
      </c>
      <c r="I24" s="5">
        <v>8</v>
      </c>
      <c r="J24" s="5">
        <v>10</v>
      </c>
      <c r="K24" s="5">
        <v>36</v>
      </c>
      <c r="L24" s="5">
        <v>65</v>
      </c>
      <c r="M24" s="5">
        <v>83</v>
      </c>
    </row>
    <row r="25" spans="1:13">
      <c r="A25" s="3" t="s">
        <v>35</v>
      </c>
      <c r="B25" s="6">
        <v>14</v>
      </c>
      <c r="C25" s="6">
        <v>63</v>
      </c>
      <c r="D25" s="6">
        <v>58</v>
      </c>
      <c r="E25" s="6">
        <v>85</v>
      </c>
      <c r="F25" s="6">
        <v>78</v>
      </c>
      <c r="G25" s="6">
        <v>29</v>
      </c>
      <c r="H25" s="6">
        <v>96</v>
      </c>
      <c r="I25" s="6">
        <v>94</v>
      </c>
      <c r="J25" s="6">
        <v>54</v>
      </c>
      <c r="K25" s="6">
        <v>68</v>
      </c>
      <c r="L25" s="6">
        <v>56</v>
      </c>
      <c r="M25" s="6">
        <v>36</v>
      </c>
    </row>
    <row r="26" spans="1:13">
      <c r="A26" s="4" t="s">
        <v>36</v>
      </c>
      <c r="B26" s="5">
        <v>23</v>
      </c>
      <c r="C26" s="5">
        <v>88</v>
      </c>
      <c r="D26" s="5">
        <v>93</v>
      </c>
      <c r="E26" s="5">
        <v>5</v>
      </c>
      <c r="F26" s="5">
        <v>18</v>
      </c>
      <c r="G26" s="5">
        <v>59</v>
      </c>
      <c r="H26" s="5">
        <v>33</v>
      </c>
      <c r="I26" s="5">
        <v>27</v>
      </c>
      <c r="J26" s="5">
        <v>94</v>
      </c>
      <c r="K26" s="5">
        <v>71</v>
      </c>
      <c r="L26" s="5">
        <v>64</v>
      </c>
      <c r="M26" s="5">
        <v>11</v>
      </c>
    </row>
    <row r="27" spans="1:13">
      <c r="A27" s="3" t="s">
        <v>37</v>
      </c>
      <c r="B27" s="6">
        <v>76</v>
      </c>
      <c r="C27" s="6">
        <v>36</v>
      </c>
      <c r="D27" s="6">
        <v>20</v>
      </c>
      <c r="E27" s="6">
        <v>63</v>
      </c>
      <c r="F27" s="6">
        <v>22</v>
      </c>
      <c r="G27" s="6">
        <v>64</v>
      </c>
      <c r="H27" s="6">
        <v>90</v>
      </c>
      <c r="I27" s="6">
        <v>72</v>
      </c>
      <c r="J27" s="6">
        <v>76</v>
      </c>
      <c r="K27" s="6">
        <v>81</v>
      </c>
      <c r="L27" s="6">
        <v>45</v>
      </c>
      <c r="M27" s="6">
        <v>61</v>
      </c>
    </row>
    <row r="28" spans="1:13">
      <c r="A28" s="4" t="s">
        <v>38</v>
      </c>
      <c r="B28" s="5">
        <v>83</v>
      </c>
      <c r="C28" s="5">
        <v>97</v>
      </c>
      <c r="D28" s="5">
        <v>69</v>
      </c>
      <c r="E28" s="5">
        <v>59</v>
      </c>
      <c r="F28" s="5">
        <v>75</v>
      </c>
      <c r="G28" s="5">
        <v>62</v>
      </c>
      <c r="H28" s="5">
        <v>25</v>
      </c>
      <c r="I28" s="5">
        <v>100</v>
      </c>
      <c r="J28" s="5">
        <v>65</v>
      </c>
      <c r="K28" s="5">
        <v>62</v>
      </c>
      <c r="L28" s="5">
        <v>38</v>
      </c>
      <c r="M28" s="5">
        <v>36</v>
      </c>
    </row>
    <row r="29" spans="1:13">
      <c r="A29" s="3" t="s">
        <v>39</v>
      </c>
      <c r="B29" s="6">
        <v>86</v>
      </c>
      <c r="C29" s="6">
        <v>40</v>
      </c>
      <c r="D29" s="6">
        <v>71</v>
      </c>
      <c r="E29" s="6">
        <v>67</v>
      </c>
      <c r="F29" s="6">
        <v>85</v>
      </c>
      <c r="G29" s="6">
        <v>35</v>
      </c>
      <c r="H29" s="6">
        <v>40</v>
      </c>
      <c r="I29" s="6">
        <v>61</v>
      </c>
      <c r="J29" s="6">
        <v>14</v>
      </c>
      <c r="K29" s="6">
        <v>96</v>
      </c>
      <c r="L29" s="6">
        <v>41</v>
      </c>
      <c r="M29" s="6">
        <v>35</v>
      </c>
    </row>
    <row r="30" spans="1:13">
      <c r="A30" s="4" t="s">
        <v>40</v>
      </c>
      <c r="B30" s="5">
        <v>39</v>
      </c>
      <c r="C30" s="5">
        <v>47</v>
      </c>
      <c r="D30" s="5">
        <v>45</v>
      </c>
      <c r="E30" s="5">
        <v>74</v>
      </c>
      <c r="F30" s="5">
        <v>15</v>
      </c>
      <c r="G30" s="5">
        <v>22</v>
      </c>
      <c r="H30" s="5">
        <v>24</v>
      </c>
      <c r="I30" s="5">
        <v>34</v>
      </c>
      <c r="J30" s="5">
        <v>54</v>
      </c>
      <c r="K30" s="5">
        <v>93</v>
      </c>
      <c r="L30" s="5">
        <v>24</v>
      </c>
      <c r="M30" s="5">
        <v>95</v>
      </c>
    </row>
    <row r="31" spans="1:13">
      <c r="A31" s="3" t="s">
        <v>41</v>
      </c>
      <c r="B31" s="6">
        <v>32</v>
      </c>
      <c r="C31" s="6">
        <v>13</v>
      </c>
      <c r="D31" s="6">
        <v>58</v>
      </c>
      <c r="E31" s="6">
        <v>57</v>
      </c>
      <c r="F31" s="6">
        <v>47</v>
      </c>
      <c r="G31" s="6">
        <v>74</v>
      </c>
      <c r="H31" s="6">
        <v>64</v>
      </c>
      <c r="I31" s="6">
        <v>58</v>
      </c>
      <c r="J31" s="6">
        <v>12</v>
      </c>
      <c r="K31" s="6">
        <v>31</v>
      </c>
      <c r="L31" s="6">
        <v>58</v>
      </c>
      <c r="M31" s="6">
        <v>54</v>
      </c>
    </row>
    <row r="32" spans="1:13">
      <c r="A32" s="7" t="s">
        <v>42</v>
      </c>
      <c r="B32" s="8">
        <v>79</v>
      </c>
      <c r="C32" s="8">
        <v>94</v>
      </c>
      <c r="D32" s="8">
        <v>7</v>
      </c>
      <c r="E32" s="8">
        <v>78</v>
      </c>
      <c r="F32" s="8">
        <v>53</v>
      </c>
      <c r="G32" s="8">
        <v>66</v>
      </c>
      <c r="H32" s="8">
        <v>5</v>
      </c>
      <c r="I32" s="8">
        <v>50</v>
      </c>
      <c r="J32" s="8">
        <v>43</v>
      </c>
      <c r="K32" s="8">
        <v>54</v>
      </c>
      <c r="L32" s="8">
        <v>58</v>
      </c>
      <c r="M32" s="8">
        <v>73</v>
      </c>
    </row>
    <row r="33" spans="1:13">
      <c r="A33" s="7" t="s">
        <v>43</v>
      </c>
      <c r="B33" s="8">
        <v>100</v>
      </c>
      <c r="C33" s="8">
        <v>99</v>
      </c>
      <c r="D33" s="8">
        <v>74</v>
      </c>
      <c r="E33" s="8">
        <v>82</v>
      </c>
      <c r="F33" s="8">
        <v>33</v>
      </c>
      <c r="G33" s="8">
        <v>67</v>
      </c>
      <c r="H33" s="8">
        <v>33</v>
      </c>
      <c r="I33" s="8">
        <v>39</v>
      </c>
      <c r="J33" s="8">
        <v>60</v>
      </c>
      <c r="K33" s="8">
        <v>67</v>
      </c>
      <c r="L33" s="8">
        <v>8</v>
      </c>
      <c r="M33" s="8">
        <v>54</v>
      </c>
    </row>
    <row r="34" spans="1:13">
      <c r="A34" s="7" t="s">
        <v>44</v>
      </c>
      <c r="B34" s="8">
        <v>48</v>
      </c>
      <c r="C34" s="8">
        <v>90</v>
      </c>
      <c r="D34" s="8">
        <v>91</v>
      </c>
      <c r="E34" s="8">
        <v>56</v>
      </c>
      <c r="F34" s="8">
        <v>97</v>
      </c>
      <c r="G34" s="8">
        <v>26</v>
      </c>
      <c r="H34" s="8">
        <v>64</v>
      </c>
      <c r="I34" s="8">
        <v>21</v>
      </c>
      <c r="J34" s="8">
        <v>84</v>
      </c>
      <c r="K34" s="8">
        <v>73</v>
      </c>
      <c r="L34" s="8">
        <v>8</v>
      </c>
      <c r="M34" s="8">
        <v>55</v>
      </c>
    </row>
    <row r="35" spans="1:13">
      <c r="A35" s="7" t="s">
        <v>45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13" width="19.7109375" customWidth="1"/>
  </cols>
  <sheetData>
    <row r="1" spans="1:13">
      <c r="A1" s="1" t="s">
        <v>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49</v>
      </c>
      <c r="B3" s="3">
        <f>343</f>
        <v>343</v>
      </c>
      <c r="C3" s="3">
        <f>328</f>
        <v>328</v>
      </c>
      <c r="D3" s="3">
        <f>379</f>
        <v>379</v>
      </c>
      <c r="E3" s="3">
        <f>53</f>
        <v>53</v>
      </c>
      <c r="F3" s="3">
        <f>82</f>
        <v>82</v>
      </c>
      <c r="G3" s="3">
        <f>369</f>
        <v>369</v>
      </c>
      <c r="H3" s="3">
        <f>259</f>
        <v>259</v>
      </c>
      <c r="I3" s="3">
        <f>109</f>
        <v>109</v>
      </c>
      <c r="J3" s="3">
        <f>483</f>
        <v>483</v>
      </c>
      <c r="K3" s="3">
        <f>276</f>
        <v>276</v>
      </c>
      <c r="L3" s="3">
        <f>133</f>
        <v>133</v>
      </c>
      <c r="M3" s="3">
        <f>65</f>
        <v>65</v>
      </c>
    </row>
    <row r="4" spans="1:13">
      <c r="A4" s="4" t="s">
        <v>50</v>
      </c>
      <c r="B4" s="4">
        <f>173</f>
        <v>173</v>
      </c>
      <c r="C4" s="4">
        <f>234</f>
        <v>234</v>
      </c>
      <c r="D4" s="4">
        <f>207</f>
        <v>207</v>
      </c>
      <c r="E4" s="4">
        <f>148</f>
        <v>148</v>
      </c>
      <c r="F4" s="4">
        <f>272</f>
        <v>272</v>
      </c>
      <c r="G4" s="4">
        <f>207</f>
        <v>207</v>
      </c>
      <c r="H4" s="4">
        <f>212</f>
        <v>212</v>
      </c>
      <c r="I4" s="4">
        <f>429</f>
        <v>429</v>
      </c>
      <c r="J4" s="4">
        <f>490</f>
        <v>490</v>
      </c>
      <c r="K4" s="4">
        <f>234</f>
        <v>234</v>
      </c>
      <c r="L4" s="4">
        <f>182</f>
        <v>182</v>
      </c>
      <c r="M4" s="4">
        <f>425</f>
        <v>425</v>
      </c>
    </row>
    <row r="5" spans="1:13">
      <c r="A5" s="3" t="s">
        <v>51</v>
      </c>
      <c r="B5" s="3">
        <f>465</f>
        <v>465</v>
      </c>
      <c r="C5" s="3">
        <f>255</f>
        <v>255</v>
      </c>
      <c r="D5" s="3">
        <f>169</f>
        <v>169</v>
      </c>
      <c r="E5" s="3">
        <f>467</f>
        <v>467</v>
      </c>
      <c r="F5" s="3">
        <f>81</f>
        <v>81</v>
      </c>
      <c r="G5" s="3">
        <f>280</f>
        <v>280</v>
      </c>
      <c r="H5" s="3">
        <f>49</f>
        <v>49</v>
      </c>
      <c r="I5" s="3">
        <f>423</f>
        <v>423</v>
      </c>
      <c r="J5" s="3">
        <f>316</f>
        <v>316</v>
      </c>
      <c r="K5" s="3">
        <f>66</f>
        <v>66</v>
      </c>
      <c r="L5" s="3">
        <f>219</f>
        <v>219</v>
      </c>
      <c r="M5" s="3">
        <f>154</f>
        <v>154</v>
      </c>
    </row>
    <row r="6" spans="1:13">
      <c r="A6" s="4" t="s">
        <v>52</v>
      </c>
      <c r="B6" s="4">
        <f>372</f>
        <v>372</v>
      </c>
      <c r="C6" s="4">
        <f>75</f>
        <v>75</v>
      </c>
      <c r="D6" s="4">
        <f>439</f>
        <v>439</v>
      </c>
      <c r="E6" s="4">
        <f>373</f>
        <v>373</v>
      </c>
      <c r="F6" s="4">
        <f>60</f>
        <v>60</v>
      </c>
      <c r="G6" s="4">
        <f>426</f>
        <v>426</v>
      </c>
      <c r="H6" s="4">
        <f>55</f>
        <v>55</v>
      </c>
      <c r="I6" s="4">
        <f>166</f>
        <v>166</v>
      </c>
      <c r="J6" s="4">
        <f>142</f>
        <v>142</v>
      </c>
      <c r="K6" s="4">
        <f>469</f>
        <v>469</v>
      </c>
      <c r="L6" s="4">
        <f>50</f>
        <v>50</v>
      </c>
      <c r="M6" s="4">
        <f>358</f>
        <v>358</v>
      </c>
    </row>
    <row r="7" spans="1:13">
      <c r="A7" s="3" t="s">
        <v>17</v>
      </c>
      <c r="B7" s="6">
        <v>24</v>
      </c>
      <c r="C7" s="6">
        <v>35</v>
      </c>
      <c r="D7" s="6">
        <v>21</v>
      </c>
      <c r="E7" s="6">
        <v>65</v>
      </c>
      <c r="F7" s="6">
        <v>90</v>
      </c>
      <c r="G7" s="6">
        <v>19</v>
      </c>
      <c r="H7" s="6">
        <v>77</v>
      </c>
      <c r="I7" s="6">
        <v>32</v>
      </c>
      <c r="J7" s="6">
        <v>64</v>
      </c>
      <c r="K7" s="6">
        <v>94</v>
      </c>
      <c r="L7" s="6">
        <v>37</v>
      </c>
      <c r="M7" s="6">
        <v>52</v>
      </c>
    </row>
    <row r="8" spans="1:13">
      <c r="A8" s="4" t="s">
        <v>18</v>
      </c>
      <c r="B8" s="5">
        <v>26</v>
      </c>
      <c r="C8" s="5">
        <v>82</v>
      </c>
      <c r="D8" s="5">
        <v>82</v>
      </c>
      <c r="E8" s="5">
        <v>100</v>
      </c>
      <c r="F8" s="5">
        <v>96</v>
      </c>
      <c r="G8" s="5">
        <v>19</v>
      </c>
      <c r="H8" s="5">
        <v>25</v>
      </c>
      <c r="I8" s="5">
        <v>44</v>
      </c>
      <c r="J8" s="5">
        <v>18</v>
      </c>
      <c r="K8" s="5">
        <v>79</v>
      </c>
      <c r="L8" s="5">
        <v>8</v>
      </c>
      <c r="M8" s="5">
        <v>44</v>
      </c>
    </row>
    <row r="9" spans="1:13">
      <c r="A9" s="3" t="s">
        <v>19</v>
      </c>
      <c r="B9" s="6">
        <v>78</v>
      </c>
      <c r="C9" s="6">
        <v>91</v>
      </c>
      <c r="D9" s="6">
        <v>53</v>
      </c>
      <c r="E9" s="6">
        <v>55</v>
      </c>
      <c r="F9" s="6">
        <v>96</v>
      </c>
      <c r="G9" s="6">
        <v>30</v>
      </c>
      <c r="H9" s="6">
        <v>14</v>
      </c>
      <c r="I9" s="6">
        <v>80</v>
      </c>
      <c r="J9" s="6">
        <v>93</v>
      </c>
      <c r="K9" s="6">
        <v>85</v>
      </c>
      <c r="L9" s="6">
        <v>36</v>
      </c>
      <c r="M9" s="6">
        <v>18</v>
      </c>
    </row>
    <row r="10" spans="1:13">
      <c r="A10" s="4" t="s">
        <v>20</v>
      </c>
      <c r="B10" s="5">
        <v>94</v>
      </c>
      <c r="C10" s="5">
        <v>43</v>
      </c>
      <c r="D10" s="5">
        <v>92</v>
      </c>
      <c r="E10" s="5">
        <v>81</v>
      </c>
      <c r="F10" s="5">
        <v>20</v>
      </c>
      <c r="G10" s="5">
        <v>77</v>
      </c>
      <c r="H10" s="5">
        <v>10</v>
      </c>
      <c r="I10" s="5">
        <v>49</v>
      </c>
      <c r="J10" s="5">
        <v>73</v>
      </c>
      <c r="K10" s="5">
        <v>59</v>
      </c>
      <c r="L10" s="5">
        <v>89</v>
      </c>
      <c r="M10" s="5">
        <v>52</v>
      </c>
    </row>
    <row r="11" spans="1:13">
      <c r="A11" s="3" t="s">
        <v>21</v>
      </c>
      <c r="B11" s="6">
        <v>13</v>
      </c>
      <c r="C11" s="6">
        <v>69</v>
      </c>
      <c r="D11" s="6">
        <v>87</v>
      </c>
      <c r="E11" s="6">
        <v>48</v>
      </c>
      <c r="F11" s="6">
        <v>6</v>
      </c>
      <c r="G11" s="6">
        <v>58</v>
      </c>
      <c r="H11" s="6">
        <v>67</v>
      </c>
      <c r="I11" s="6">
        <v>18</v>
      </c>
      <c r="J11" s="6">
        <v>60</v>
      </c>
      <c r="K11" s="6">
        <v>51</v>
      </c>
      <c r="L11" s="6">
        <v>86</v>
      </c>
      <c r="M11" s="6">
        <v>63</v>
      </c>
    </row>
    <row r="12" spans="1:13">
      <c r="A12" s="4" t="s">
        <v>22</v>
      </c>
      <c r="B12" s="5">
        <v>95</v>
      </c>
      <c r="C12" s="5">
        <v>24</v>
      </c>
      <c r="D12" s="5">
        <v>60</v>
      </c>
      <c r="E12" s="5">
        <v>27</v>
      </c>
      <c r="F12" s="5">
        <v>98</v>
      </c>
      <c r="G12" s="5">
        <v>71</v>
      </c>
      <c r="H12" s="5">
        <v>88</v>
      </c>
      <c r="I12" s="5">
        <v>39</v>
      </c>
      <c r="J12" s="5">
        <v>83</v>
      </c>
      <c r="K12" s="5">
        <v>73</v>
      </c>
      <c r="L12" s="5">
        <v>66</v>
      </c>
      <c r="M12" s="5">
        <v>64</v>
      </c>
    </row>
    <row r="13" spans="1:13">
      <c r="A13" s="3" t="s">
        <v>23</v>
      </c>
      <c r="B13" s="6">
        <v>60</v>
      </c>
      <c r="C13" s="6">
        <v>98</v>
      </c>
      <c r="D13" s="6">
        <v>80</v>
      </c>
      <c r="E13" s="6">
        <v>39</v>
      </c>
      <c r="F13" s="6">
        <v>46</v>
      </c>
      <c r="G13" s="6">
        <v>36</v>
      </c>
      <c r="H13" s="6">
        <v>16</v>
      </c>
      <c r="I13" s="6">
        <v>40</v>
      </c>
      <c r="J13" s="6">
        <v>62</v>
      </c>
      <c r="K13" s="6">
        <v>36</v>
      </c>
      <c r="L13" s="6">
        <v>64</v>
      </c>
      <c r="M13" s="6">
        <v>77</v>
      </c>
    </row>
    <row r="14" spans="1:13">
      <c r="A14" s="4" t="s">
        <v>24</v>
      </c>
      <c r="B14" s="5">
        <v>83</v>
      </c>
      <c r="C14" s="5">
        <v>90</v>
      </c>
      <c r="D14" s="5">
        <v>53</v>
      </c>
      <c r="E14" s="5">
        <v>48</v>
      </c>
      <c r="F14" s="5">
        <v>8</v>
      </c>
      <c r="G14" s="5">
        <v>68</v>
      </c>
      <c r="H14" s="5">
        <v>46</v>
      </c>
      <c r="I14" s="5">
        <v>28</v>
      </c>
      <c r="J14" s="5">
        <v>67</v>
      </c>
      <c r="K14" s="5">
        <v>32</v>
      </c>
      <c r="L14" s="5">
        <v>50</v>
      </c>
      <c r="M14" s="5">
        <v>38</v>
      </c>
    </row>
    <row r="15" spans="1:13">
      <c r="A15" s="3" t="s">
        <v>25</v>
      </c>
      <c r="B15" s="6">
        <v>48</v>
      </c>
      <c r="C15" s="6">
        <v>40</v>
      </c>
      <c r="D15" s="6">
        <v>81</v>
      </c>
      <c r="E15" s="6">
        <v>94</v>
      </c>
      <c r="F15" s="6">
        <v>40</v>
      </c>
      <c r="G15" s="6">
        <v>76</v>
      </c>
      <c r="H15" s="6">
        <v>6</v>
      </c>
      <c r="I15" s="6">
        <v>71</v>
      </c>
      <c r="J15" s="6">
        <v>29</v>
      </c>
      <c r="K15" s="6">
        <v>15</v>
      </c>
      <c r="L15" s="6">
        <v>35</v>
      </c>
      <c r="M15" s="6">
        <v>97</v>
      </c>
    </row>
    <row r="16" spans="1:13">
      <c r="A16" s="4" t="s">
        <v>26</v>
      </c>
      <c r="B16" s="5">
        <v>57</v>
      </c>
      <c r="C16" s="5">
        <v>67</v>
      </c>
      <c r="D16" s="5">
        <v>76</v>
      </c>
      <c r="E16" s="5">
        <v>35</v>
      </c>
      <c r="F16" s="5">
        <v>93</v>
      </c>
      <c r="G16" s="5">
        <v>65</v>
      </c>
      <c r="H16" s="5">
        <v>87</v>
      </c>
      <c r="I16" s="5">
        <v>96</v>
      </c>
      <c r="J16" s="5">
        <v>67</v>
      </c>
      <c r="K16" s="5">
        <v>62</v>
      </c>
      <c r="L16" s="5">
        <v>7</v>
      </c>
      <c r="M16" s="5">
        <v>16</v>
      </c>
    </row>
    <row r="17" spans="1:13">
      <c r="A17" s="3" t="s">
        <v>27</v>
      </c>
      <c r="B17" s="6">
        <v>42</v>
      </c>
      <c r="C17" s="6">
        <v>33</v>
      </c>
      <c r="D17" s="6">
        <v>56</v>
      </c>
      <c r="E17" s="6">
        <v>93</v>
      </c>
      <c r="F17" s="6">
        <v>36</v>
      </c>
      <c r="G17" s="6">
        <v>44</v>
      </c>
      <c r="H17" s="6">
        <v>89</v>
      </c>
      <c r="I17" s="6">
        <v>79</v>
      </c>
      <c r="J17" s="6">
        <v>52</v>
      </c>
      <c r="K17" s="6">
        <v>65</v>
      </c>
      <c r="L17" s="6">
        <v>75</v>
      </c>
      <c r="M17" s="6">
        <v>72</v>
      </c>
    </row>
    <row r="18" spans="1:13">
      <c r="A18" s="4" t="s">
        <v>28</v>
      </c>
      <c r="B18" s="5">
        <v>49</v>
      </c>
      <c r="C18" s="5">
        <v>59</v>
      </c>
      <c r="D18" s="5">
        <v>100</v>
      </c>
      <c r="E18" s="5">
        <v>75</v>
      </c>
      <c r="F18" s="5">
        <v>47</v>
      </c>
      <c r="G18" s="5">
        <v>50</v>
      </c>
      <c r="H18" s="5">
        <v>94</v>
      </c>
      <c r="I18" s="5">
        <v>63</v>
      </c>
      <c r="J18" s="5">
        <v>39</v>
      </c>
      <c r="K18" s="5">
        <v>44</v>
      </c>
      <c r="L18" s="5">
        <v>37</v>
      </c>
      <c r="M18" s="5">
        <v>34</v>
      </c>
    </row>
    <row r="19" spans="1:13">
      <c r="A19" s="3" t="s">
        <v>29</v>
      </c>
      <c r="B19" s="6">
        <v>20</v>
      </c>
      <c r="C19" s="6">
        <v>97</v>
      </c>
      <c r="D19" s="6">
        <v>29</v>
      </c>
      <c r="E19" s="6">
        <v>45</v>
      </c>
      <c r="F19" s="6">
        <v>20</v>
      </c>
      <c r="G19" s="6">
        <v>100</v>
      </c>
      <c r="H19" s="6">
        <v>73</v>
      </c>
      <c r="I19" s="6">
        <v>93</v>
      </c>
      <c r="J19" s="6">
        <v>28</v>
      </c>
      <c r="K19" s="6">
        <v>29</v>
      </c>
      <c r="L19" s="6">
        <v>32</v>
      </c>
      <c r="M19" s="6">
        <v>99</v>
      </c>
    </row>
    <row r="20" spans="1:13">
      <c r="A20" s="4" t="s">
        <v>30</v>
      </c>
      <c r="B20" s="5">
        <v>66</v>
      </c>
      <c r="C20" s="5">
        <v>40</v>
      </c>
      <c r="D20" s="5">
        <v>97</v>
      </c>
      <c r="E20" s="5">
        <v>80</v>
      </c>
      <c r="F20" s="5">
        <v>72</v>
      </c>
      <c r="G20" s="5">
        <v>81</v>
      </c>
      <c r="H20" s="5">
        <v>41</v>
      </c>
      <c r="I20" s="5">
        <v>17</v>
      </c>
      <c r="J20" s="5">
        <v>29</v>
      </c>
      <c r="K20" s="5">
        <v>42</v>
      </c>
      <c r="L20" s="5">
        <v>34</v>
      </c>
      <c r="M20" s="5">
        <v>51</v>
      </c>
    </row>
    <row r="21" spans="1:13">
      <c r="A21" s="3" t="s">
        <v>31</v>
      </c>
      <c r="B21" s="6">
        <v>27</v>
      </c>
      <c r="C21" s="6">
        <v>43</v>
      </c>
      <c r="D21" s="6">
        <v>6</v>
      </c>
      <c r="E21" s="6">
        <v>95</v>
      </c>
      <c r="F21" s="6">
        <v>73</v>
      </c>
      <c r="G21" s="6">
        <v>21</v>
      </c>
      <c r="H21" s="6">
        <v>40</v>
      </c>
      <c r="I21" s="6">
        <v>10</v>
      </c>
      <c r="J21" s="6">
        <v>11</v>
      </c>
      <c r="K21" s="6">
        <v>75</v>
      </c>
      <c r="L21" s="6">
        <v>42</v>
      </c>
      <c r="M21" s="6">
        <v>94</v>
      </c>
    </row>
    <row r="22" spans="1:13">
      <c r="A22" s="4" t="s">
        <v>32</v>
      </c>
      <c r="B22" s="5">
        <v>21</v>
      </c>
      <c r="C22" s="5">
        <v>86</v>
      </c>
      <c r="D22" s="5">
        <v>67</v>
      </c>
      <c r="E22" s="5">
        <v>18</v>
      </c>
      <c r="F22" s="5">
        <v>6</v>
      </c>
      <c r="G22" s="5">
        <v>78</v>
      </c>
      <c r="H22" s="5">
        <v>41</v>
      </c>
      <c r="I22" s="5">
        <v>65</v>
      </c>
      <c r="J22" s="5">
        <v>66</v>
      </c>
      <c r="K22" s="5">
        <v>61</v>
      </c>
      <c r="L22" s="5">
        <v>48</v>
      </c>
      <c r="M22" s="5">
        <v>28</v>
      </c>
    </row>
    <row r="23" spans="1:13">
      <c r="A23" s="3" t="s">
        <v>33</v>
      </c>
      <c r="B23" s="6">
        <v>11</v>
      </c>
      <c r="C23" s="6">
        <v>37</v>
      </c>
      <c r="D23" s="6">
        <v>66</v>
      </c>
      <c r="E23" s="6">
        <v>19</v>
      </c>
      <c r="F23" s="6">
        <v>13</v>
      </c>
      <c r="G23" s="6">
        <v>56</v>
      </c>
      <c r="H23" s="6">
        <v>67</v>
      </c>
      <c r="I23" s="6">
        <v>14</v>
      </c>
      <c r="J23" s="6">
        <v>78</v>
      </c>
      <c r="K23" s="6">
        <v>85</v>
      </c>
      <c r="L23" s="6">
        <v>92</v>
      </c>
      <c r="M23" s="6">
        <v>11</v>
      </c>
    </row>
    <row r="24" spans="1:13">
      <c r="A24" s="4" t="s">
        <v>34</v>
      </c>
      <c r="B24" s="5">
        <v>24</v>
      </c>
      <c r="C24" s="5">
        <v>24</v>
      </c>
      <c r="D24" s="5">
        <v>77</v>
      </c>
      <c r="E24" s="5">
        <v>43</v>
      </c>
      <c r="F24" s="5">
        <v>15</v>
      </c>
      <c r="G24" s="5">
        <v>36</v>
      </c>
      <c r="H24" s="5">
        <v>20</v>
      </c>
      <c r="I24" s="5">
        <v>76</v>
      </c>
      <c r="J24" s="5">
        <v>58</v>
      </c>
      <c r="K24" s="5">
        <v>82</v>
      </c>
      <c r="L24" s="5">
        <v>81</v>
      </c>
      <c r="M24" s="5">
        <v>84</v>
      </c>
    </row>
    <row r="25" spans="1:13">
      <c r="A25" s="3" t="s">
        <v>35</v>
      </c>
      <c r="B25" s="6">
        <v>33</v>
      </c>
      <c r="C25" s="6">
        <v>71</v>
      </c>
      <c r="D25" s="6">
        <v>53</v>
      </c>
      <c r="E25" s="6">
        <v>62</v>
      </c>
      <c r="F25" s="6">
        <v>61</v>
      </c>
      <c r="G25" s="6">
        <v>43</v>
      </c>
      <c r="H25" s="6">
        <v>80</v>
      </c>
      <c r="I25" s="6">
        <v>59</v>
      </c>
      <c r="J25" s="6">
        <v>44</v>
      </c>
      <c r="K25" s="6">
        <v>77</v>
      </c>
      <c r="L25" s="6">
        <v>84</v>
      </c>
      <c r="M25" s="6">
        <v>12</v>
      </c>
    </row>
    <row r="26" spans="1:13">
      <c r="A26" s="4" t="s">
        <v>36</v>
      </c>
      <c r="B26" s="5">
        <v>83</v>
      </c>
      <c r="C26" s="5">
        <v>99</v>
      </c>
      <c r="D26" s="5">
        <v>17</v>
      </c>
      <c r="E26" s="5">
        <v>31</v>
      </c>
      <c r="F26" s="5">
        <v>85</v>
      </c>
      <c r="G26" s="5">
        <v>32</v>
      </c>
      <c r="H26" s="5">
        <v>38</v>
      </c>
      <c r="I26" s="5">
        <v>89</v>
      </c>
      <c r="J26" s="5">
        <v>15</v>
      </c>
      <c r="K26" s="5">
        <v>25</v>
      </c>
      <c r="L26" s="5">
        <v>35</v>
      </c>
      <c r="M26" s="5">
        <v>27</v>
      </c>
    </row>
    <row r="27" spans="1:13">
      <c r="A27" s="3" t="s">
        <v>37</v>
      </c>
      <c r="B27" s="6">
        <v>75</v>
      </c>
      <c r="C27" s="6">
        <v>14</v>
      </c>
      <c r="D27" s="6">
        <v>25</v>
      </c>
      <c r="E27" s="6">
        <v>5</v>
      </c>
      <c r="F27" s="6">
        <v>57</v>
      </c>
      <c r="G27" s="6">
        <v>62</v>
      </c>
      <c r="H27" s="6">
        <v>93</v>
      </c>
      <c r="I27" s="6">
        <v>81</v>
      </c>
      <c r="J27" s="6">
        <v>65</v>
      </c>
      <c r="K27" s="6">
        <v>42</v>
      </c>
      <c r="L27" s="6">
        <v>9</v>
      </c>
      <c r="M27" s="6">
        <v>34</v>
      </c>
    </row>
    <row r="28" spans="1:13">
      <c r="A28" s="4" t="s">
        <v>38</v>
      </c>
      <c r="B28" s="5">
        <v>41</v>
      </c>
      <c r="C28" s="5">
        <v>95</v>
      </c>
      <c r="D28" s="5">
        <v>41</v>
      </c>
      <c r="E28" s="5">
        <v>94</v>
      </c>
      <c r="F28" s="5">
        <v>63</v>
      </c>
      <c r="G28" s="5">
        <v>14</v>
      </c>
      <c r="H28" s="5">
        <v>92</v>
      </c>
      <c r="I28" s="5">
        <v>34</v>
      </c>
      <c r="J28" s="5">
        <v>38</v>
      </c>
      <c r="K28" s="5">
        <v>85</v>
      </c>
      <c r="L28" s="5">
        <v>80</v>
      </c>
      <c r="M28" s="5">
        <v>89</v>
      </c>
    </row>
    <row r="29" spans="1:13">
      <c r="A29" s="3" t="s">
        <v>39</v>
      </c>
      <c r="B29" s="6">
        <v>30</v>
      </c>
      <c r="C29" s="6">
        <v>59</v>
      </c>
      <c r="D29" s="6">
        <v>19</v>
      </c>
      <c r="E29" s="6">
        <v>74</v>
      </c>
      <c r="F29" s="6">
        <v>33</v>
      </c>
      <c r="G29" s="6">
        <v>87</v>
      </c>
      <c r="H29" s="6">
        <v>24</v>
      </c>
      <c r="I29" s="6">
        <v>39</v>
      </c>
      <c r="J29" s="6">
        <v>23</v>
      </c>
      <c r="K29" s="6">
        <v>14</v>
      </c>
      <c r="L29" s="6">
        <v>12</v>
      </c>
      <c r="M29" s="6">
        <v>26</v>
      </c>
    </row>
    <row r="30" spans="1:13">
      <c r="A30" s="4" t="s">
        <v>40</v>
      </c>
      <c r="B30" s="5">
        <v>44</v>
      </c>
      <c r="C30" s="5">
        <v>81</v>
      </c>
      <c r="D30" s="5">
        <v>100</v>
      </c>
      <c r="E30" s="5">
        <v>77</v>
      </c>
      <c r="F30" s="5">
        <v>41</v>
      </c>
      <c r="G30" s="5">
        <v>61</v>
      </c>
      <c r="H30" s="5">
        <v>20</v>
      </c>
      <c r="I30" s="5">
        <v>64</v>
      </c>
      <c r="J30" s="5">
        <v>93</v>
      </c>
      <c r="K30" s="5">
        <v>43</v>
      </c>
      <c r="L30" s="5">
        <v>94</v>
      </c>
      <c r="M30" s="5">
        <v>56</v>
      </c>
    </row>
    <row r="31" spans="1:13">
      <c r="A31" s="3" t="s">
        <v>41</v>
      </c>
      <c r="B31" s="6">
        <v>39</v>
      </c>
      <c r="C31" s="6">
        <v>69</v>
      </c>
      <c r="D31" s="6">
        <v>74</v>
      </c>
      <c r="E31" s="6">
        <v>68</v>
      </c>
      <c r="F31" s="6">
        <v>61</v>
      </c>
      <c r="G31" s="6">
        <v>15</v>
      </c>
      <c r="H31" s="6">
        <v>81</v>
      </c>
      <c r="I31" s="6">
        <v>10</v>
      </c>
      <c r="J31" s="6">
        <v>60</v>
      </c>
      <c r="K31" s="6">
        <v>99</v>
      </c>
      <c r="L31" s="6">
        <v>46</v>
      </c>
      <c r="M31" s="6">
        <v>82</v>
      </c>
    </row>
    <row r="32" spans="1:13">
      <c r="A32" s="7" t="s">
        <v>42</v>
      </c>
      <c r="B32" s="8">
        <v>37</v>
      </c>
      <c r="C32" s="8">
        <v>8</v>
      </c>
      <c r="D32" s="8">
        <v>16</v>
      </c>
      <c r="E32" s="8">
        <v>34</v>
      </c>
      <c r="F32" s="8">
        <v>91</v>
      </c>
      <c r="G32" s="8">
        <v>78</v>
      </c>
      <c r="H32" s="8">
        <v>80</v>
      </c>
      <c r="I32" s="8">
        <v>7</v>
      </c>
      <c r="J32" s="8">
        <v>91</v>
      </c>
      <c r="K32" s="8">
        <v>39</v>
      </c>
      <c r="L32" s="8">
        <v>78</v>
      </c>
      <c r="M32" s="8">
        <v>10</v>
      </c>
    </row>
    <row r="33" spans="1:13">
      <c r="A33" s="7" t="s">
        <v>43</v>
      </c>
      <c r="B33" s="8">
        <v>27</v>
      </c>
      <c r="C33" s="8">
        <v>65</v>
      </c>
      <c r="D33" s="8">
        <v>71</v>
      </c>
      <c r="E33" s="8">
        <v>88</v>
      </c>
      <c r="F33" s="8">
        <v>61</v>
      </c>
      <c r="G33" s="8">
        <v>40</v>
      </c>
      <c r="H33" s="8">
        <v>28</v>
      </c>
      <c r="I33" s="8">
        <v>79</v>
      </c>
      <c r="J33" s="8">
        <v>60</v>
      </c>
      <c r="K33" s="8">
        <v>86</v>
      </c>
      <c r="L33" s="8">
        <v>67</v>
      </c>
      <c r="M33" s="8">
        <v>16</v>
      </c>
    </row>
    <row r="34" spans="1:13">
      <c r="A34" s="7" t="s">
        <v>44</v>
      </c>
      <c r="B34" s="8">
        <v>65</v>
      </c>
      <c r="C34" s="8">
        <v>49</v>
      </c>
      <c r="D34" s="8">
        <v>57</v>
      </c>
      <c r="E34" s="8">
        <v>47</v>
      </c>
      <c r="F34" s="8">
        <v>46</v>
      </c>
      <c r="G34" s="8">
        <v>90</v>
      </c>
      <c r="H34" s="8">
        <v>18</v>
      </c>
      <c r="I34" s="8">
        <v>25</v>
      </c>
      <c r="J34" s="8">
        <v>47</v>
      </c>
      <c r="K34" s="8">
        <v>57</v>
      </c>
      <c r="L34" s="8">
        <v>93</v>
      </c>
      <c r="M34" s="8">
        <v>68</v>
      </c>
    </row>
    <row r="35" spans="1:13">
      <c r="A35" s="7" t="s">
        <v>45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</vt:lpstr>
      <vt:lpstr>Segments</vt:lpstr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